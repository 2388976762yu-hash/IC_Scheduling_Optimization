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7095" activeTab="4"/>
  </bookViews>
  <sheets>
    <sheet name="Summary" sheetId="7" r:id="rId1"/>
    <sheet name="Process" sheetId="1" r:id="rId2"/>
    <sheet name="MC qty" sheetId="2" r:id="rId3"/>
    <sheet name="Logic" sheetId="3" r:id="rId4"/>
    <sheet name="Loading" sheetId="6" r:id="rId5"/>
    <sheet name="BP wk42" sheetId="4" r:id="rId6"/>
  </sheets>
  <externalReferences>
    <externalReference r:id="rId7"/>
    <externalReference r:id="rId8"/>
  </externalReferences>
  <definedNames>
    <definedName name="_xlnm._FilterDatabase" localSheetId="5" hidden="1">'BP wk42'!$A$1:$AK$61</definedName>
  </definedNames>
  <calcPr calcId="125725"/>
</workbook>
</file>

<file path=xl/calcChain.xml><?xml version="1.0" encoding="utf-8"?>
<calcChain xmlns="http://schemas.openxmlformats.org/spreadsheetml/2006/main">
  <c r="AK2" i="4"/>
  <c r="AJ2"/>
  <c r="AD9"/>
  <c r="AE9" s="1"/>
  <c r="AD10"/>
  <c r="AE10" s="1"/>
  <c r="AD11"/>
  <c r="AE11" s="1"/>
  <c r="AD12"/>
  <c r="AE12" s="1"/>
  <c r="AD13"/>
  <c r="AE13" s="1"/>
  <c r="AD14"/>
  <c r="AE14" s="1"/>
  <c r="AD15"/>
  <c r="AE15" s="1"/>
  <c r="AD16"/>
  <c r="AE16" s="1"/>
  <c r="AD17"/>
  <c r="AE17" s="1"/>
  <c r="AD18"/>
  <c r="AE18" s="1"/>
  <c r="AD19"/>
  <c r="AE19" s="1"/>
  <c r="AD20"/>
  <c r="AE20" s="1"/>
  <c r="AD21"/>
  <c r="AE21" s="1"/>
  <c r="AD22"/>
  <c r="AE22" s="1"/>
  <c r="AD23"/>
  <c r="AE23" s="1"/>
  <c r="AD24"/>
  <c r="AE24" s="1"/>
  <c r="AD25"/>
  <c r="AE25" s="1"/>
  <c r="AD26"/>
  <c r="AE26" s="1"/>
  <c r="AD27"/>
  <c r="AE27" s="1"/>
  <c r="AD28"/>
  <c r="AE28" s="1"/>
  <c r="AD29"/>
  <c r="AE29" s="1"/>
  <c r="AD30"/>
  <c r="AE30"/>
  <c r="AD31"/>
  <c r="AE31"/>
  <c r="AD32"/>
  <c r="AE32"/>
  <c r="AD33"/>
  <c r="AE33"/>
  <c r="AD34"/>
  <c r="AE34"/>
  <c r="AD35"/>
  <c r="AE35" s="1"/>
  <c r="AD36"/>
  <c r="AE36" s="1"/>
  <c r="AD37"/>
  <c r="AE37"/>
  <c r="AD38"/>
  <c r="AE38"/>
  <c r="AD39"/>
  <c r="AE39" s="1"/>
  <c r="AD40"/>
  <c r="AE40" s="1"/>
  <c r="AD41"/>
  <c r="AE41" s="1"/>
  <c r="AD42"/>
  <c r="AE42"/>
  <c r="AD43"/>
  <c r="AE43"/>
  <c r="AD44"/>
  <c r="AE44" s="1"/>
  <c r="AD45"/>
  <c r="AE45" s="1"/>
  <c r="AD46"/>
  <c r="AE46" s="1"/>
  <c r="AD47"/>
  <c r="AE47" s="1"/>
  <c r="AD48"/>
  <c r="AE48" s="1"/>
  <c r="AD49"/>
  <c r="AE49" s="1"/>
  <c r="AD50"/>
  <c r="AE50" s="1"/>
  <c r="AD51"/>
  <c r="AE51" s="1"/>
  <c r="AD52"/>
  <c r="AE52"/>
  <c r="AD53"/>
  <c r="AE53"/>
  <c r="AD54"/>
  <c r="AE54"/>
  <c r="AD55"/>
  <c r="AE55" s="1"/>
  <c r="AD56"/>
  <c r="AE56" s="1"/>
  <c r="AD57"/>
  <c r="AE57" s="1"/>
  <c r="AD58"/>
  <c r="AE58" s="1"/>
  <c r="AD59"/>
  <c r="AE59" s="1"/>
  <c r="AD60"/>
  <c r="AE60" s="1"/>
  <c r="AD61"/>
  <c r="AE61" s="1"/>
  <c r="AD7"/>
  <c r="AE7"/>
  <c r="AD8"/>
  <c r="AE8"/>
  <c r="AD3"/>
  <c r="AE3" s="1"/>
  <c r="AD4"/>
  <c r="AE4" s="1"/>
  <c r="AD5"/>
  <c r="AE5" s="1"/>
  <c r="AD6"/>
  <c r="AE6" s="1"/>
  <c r="AE2"/>
  <c r="AD2"/>
  <c r="AI3" l="1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2"/>
  <c r="AF3"/>
  <c r="AJ3" s="1"/>
  <c r="AG3"/>
  <c r="AH3"/>
  <c r="AF4"/>
  <c r="AJ4" s="1"/>
  <c r="AG4"/>
  <c r="AH4"/>
  <c r="AF5"/>
  <c r="AJ5" s="1"/>
  <c r="AG5"/>
  <c r="AH5"/>
  <c r="AF6"/>
  <c r="AJ6" s="1"/>
  <c r="AG6"/>
  <c r="AH6"/>
  <c r="AF7"/>
  <c r="AJ7" s="1"/>
  <c r="AG7"/>
  <c r="AH7"/>
  <c r="AF8"/>
  <c r="AJ8" s="1"/>
  <c r="AG8"/>
  <c r="AH8"/>
  <c r="AF9"/>
  <c r="AJ9" s="1"/>
  <c r="AG9"/>
  <c r="AH9"/>
  <c r="AF10"/>
  <c r="AJ10" s="1"/>
  <c r="AG10"/>
  <c r="AH10"/>
  <c r="AF11"/>
  <c r="AJ11" s="1"/>
  <c r="AG11"/>
  <c r="AH11"/>
  <c r="AF12"/>
  <c r="AJ12" s="1"/>
  <c r="AG12"/>
  <c r="AH12"/>
  <c r="AF13"/>
  <c r="AJ13" s="1"/>
  <c r="AG13"/>
  <c r="AH13"/>
  <c r="AF14"/>
  <c r="AJ14" s="1"/>
  <c r="AG14"/>
  <c r="AH14"/>
  <c r="AF15"/>
  <c r="AJ15" s="1"/>
  <c r="AG15"/>
  <c r="AH15"/>
  <c r="AF16"/>
  <c r="AJ16" s="1"/>
  <c r="AG16"/>
  <c r="AH16"/>
  <c r="AF17"/>
  <c r="AJ17" s="1"/>
  <c r="AG17"/>
  <c r="AH17"/>
  <c r="AF18"/>
  <c r="AJ18" s="1"/>
  <c r="AG18"/>
  <c r="AH18"/>
  <c r="AF19"/>
  <c r="AJ19" s="1"/>
  <c r="AG19"/>
  <c r="AH19"/>
  <c r="AF20"/>
  <c r="AJ20" s="1"/>
  <c r="AG20"/>
  <c r="AH20"/>
  <c r="AF21"/>
  <c r="AJ21" s="1"/>
  <c r="AG21"/>
  <c r="AH21"/>
  <c r="AF22"/>
  <c r="AJ22" s="1"/>
  <c r="AG22"/>
  <c r="AH22"/>
  <c r="AF23"/>
  <c r="AJ23" s="1"/>
  <c r="AG23"/>
  <c r="AH23"/>
  <c r="AF24"/>
  <c r="AJ24" s="1"/>
  <c r="AG24"/>
  <c r="AH24"/>
  <c r="AF25"/>
  <c r="AJ25" s="1"/>
  <c r="AG25"/>
  <c r="AH25"/>
  <c r="AF26"/>
  <c r="AJ26" s="1"/>
  <c r="AG26"/>
  <c r="AH26"/>
  <c r="AF27"/>
  <c r="AJ27" s="1"/>
  <c r="AG27"/>
  <c r="AH27"/>
  <c r="AF28"/>
  <c r="AJ28" s="1"/>
  <c r="AG28"/>
  <c r="AH28"/>
  <c r="AF29"/>
  <c r="AJ29" s="1"/>
  <c r="AG29"/>
  <c r="AH29"/>
  <c r="AF30"/>
  <c r="AJ30" s="1"/>
  <c r="AG30"/>
  <c r="AH30"/>
  <c r="AF31"/>
  <c r="AJ31" s="1"/>
  <c r="AG31"/>
  <c r="AH31"/>
  <c r="AF32"/>
  <c r="AJ32" s="1"/>
  <c r="AG32"/>
  <c r="AH32"/>
  <c r="AF33"/>
  <c r="AJ33" s="1"/>
  <c r="AG33"/>
  <c r="AH33"/>
  <c r="AF34"/>
  <c r="AJ34" s="1"/>
  <c r="AG34"/>
  <c r="AH34"/>
  <c r="AF35"/>
  <c r="AJ35" s="1"/>
  <c r="AG35"/>
  <c r="AH35"/>
  <c r="AF36"/>
  <c r="AJ36" s="1"/>
  <c r="AG36"/>
  <c r="AH36"/>
  <c r="AF37"/>
  <c r="AJ37" s="1"/>
  <c r="AG37"/>
  <c r="AH37"/>
  <c r="AF38"/>
  <c r="AJ38" s="1"/>
  <c r="AG38"/>
  <c r="AH38"/>
  <c r="AF39"/>
  <c r="AJ39" s="1"/>
  <c r="AG39"/>
  <c r="AH39"/>
  <c r="AF40"/>
  <c r="AJ40" s="1"/>
  <c r="AG40"/>
  <c r="AH40"/>
  <c r="AF41"/>
  <c r="AJ41" s="1"/>
  <c r="AG41"/>
  <c r="AH41"/>
  <c r="AF42"/>
  <c r="AJ42" s="1"/>
  <c r="AG42"/>
  <c r="AH42"/>
  <c r="AF43"/>
  <c r="AJ43" s="1"/>
  <c r="AG43"/>
  <c r="AH43"/>
  <c r="AF44"/>
  <c r="AJ44" s="1"/>
  <c r="AG44"/>
  <c r="AH44"/>
  <c r="AF45"/>
  <c r="AJ45" s="1"/>
  <c r="AG45"/>
  <c r="AH45"/>
  <c r="AF46"/>
  <c r="AJ46" s="1"/>
  <c r="AG46"/>
  <c r="AH46"/>
  <c r="AF47"/>
  <c r="AJ47" s="1"/>
  <c r="AG47"/>
  <c r="AH47"/>
  <c r="AF48"/>
  <c r="AJ48" s="1"/>
  <c r="AG48"/>
  <c r="AH48"/>
  <c r="AF49"/>
  <c r="AJ49" s="1"/>
  <c r="AG49"/>
  <c r="AH49"/>
  <c r="AF50"/>
  <c r="AJ50" s="1"/>
  <c r="AG50"/>
  <c r="AH50"/>
  <c r="AF51"/>
  <c r="AJ51" s="1"/>
  <c r="AG51"/>
  <c r="AH51"/>
  <c r="AF52"/>
  <c r="AJ52" s="1"/>
  <c r="AG52"/>
  <c r="AH52"/>
  <c r="AF53"/>
  <c r="AJ53" s="1"/>
  <c r="AG53"/>
  <c r="AH53"/>
  <c r="AF54"/>
  <c r="AJ54" s="1"/>
  <c r="AG54"/>
  <c r="AH54"/>
  <c r="AF55"/>
  <c r="AJ55" s="1"/>
  <c r="AG55"/>
  <c r="AH55"/>
  <c r="AF56"/>
  <c r="AJ56" s="1"/>
  <c r="AG56"/>
  <c r="AH56"/>
  <c r="AF57"/>
  <c r="AJ57" s="1"/>
  <c r="AG57"/>
  <c r="AH57"/>
  <c r="AF58"/>
  <c r="AJ58" s="1"/>
  <c r="AG58"/>
  <c r="AH58"/>
  <c r="AF59"/>
  <c r="AJ59" s="1"/>
  <c r="AG59"/>
  <c r="AH59"/>
  <c r="AF60"/>
  <c r="AJ60" s="1"/>
  <c r="AG60"/>
  <c r="AH60"/>
  <c r="AF61"/>
  <c r="AJ61" s="1"/>
  <c r="AG61"/>
  <c r="AH61"/>
  <c r="AH2"/>
  <c r="AG2"/>
  <c r="AF2"/>
  <c r="AC3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2"/>
  <c r="AK61" l="1"/>
  <c r="AK59"/>
  <c r="AK57"/>
  <c r="AK55"/>
  <c r="AK53"/>
  <c r="AK51"/>
  <c r="AK49"/>
  <c r="AK47"/>
  <c r="AK45"/>
  <c r="AK43"/>
  <c r="AK41"/>
  <c r="AK39"/>
  <c r="AK37"/>
  <c r="AK35"/>
  <c r="AK33"/>
  <c r="AK31"/>
  <c r="AK29"/>
  <c r="AK27"/>
  <c r="AK25"/>
  <c r="AK23"/>
  <c r="AK21"/>
  <c r="AK19"/>
  <c r="AK17"/>
  <c r="AK15"/>
  <c r="AK13"/>
  <c r="AK11"/>
  <c r="AK9"/>
  <c r="AK7"/>
  <c r="AK5"/>
  <c r="AK3"/>
  <c r="AK60"/>
  <c r="AK58"/>
  <c r="AK56"/>
  <c r="AK54"/>
  <c r="AK52"/>
  <c r="AK50"/>
  <c r="AK48"/>
  <c r="AK46"/>
  <c r="AK44"/>
  <c r="AK42"/>
  <c r="AK40"/>
  <c r="AK38"/>
  <c r="AK36"/>
  <c r="AK34"/>
  <c r="AK32"/>
  <c r="AK30"/>
  <c r="AK28"/>
  <c r="AK26"/>
  <c r="AK24"/>
  <c r="AK22"/>
  <c r="AK20"/>
  <c r="AK18"/>
  <c r="AK16"/>
  <c r="AK14"/>
  <c r="AK12"/>
  <c r="AK10"/>
  <c r="AK8"/>
  <c r="AK6"/>
  <c r="AK4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3"/>
  <c r="N4"/>
  <c r="N5"/>
  <c r="N61"/>
  <c r="N2"/>
  <c r="J27"/>
  <c r="J26"/>
  <c r="J24"/>
  <c r="J23"/>
  <c r="J20"/>
  <c r="J11"/>
  <c r="J10"/>
  <c r="J6"/>
  <c r="J3"/>
  <c r="K3"/>
  <c r="J4"/>
  <c r="K4"/>
  <c r="J5"/>
  <c r="K5"/>
  <c r="K6"/>
  <c r="J7"/>
  <c r="K7"/>
  <c r="J8"/>
  <c r="K8"/>
  <c r="J9"/>
  <c r="K9"/>
  <c r="K10"/>
  <c r="K11"/>
  <c r="J12"/>
  <c r="K12"/>
  <c r="J13"/>
  <c r="K13"/>
  <c r="J14"/>
  <c r="K14"/>
  <c r="J15"/>
  <c r="K15"/>
  <c r="J16"/>
  <c r="K16"/>
  <c r="J17"/>
  <c r="K17"/>
  <c r="J18"/>
  <c r="K18"/>
  <c r="J19"/>
  <c r="K19"/>
  <c r="K20"/>
  <c r="J21"/>
  <c r="K21"/>
  <c r="J22"/>
  <c r="K22"/>
  <c r="K23"/>
  <c r="K24"/>
  <c r="J25"/>
  <c r="K25"/>
  <c r="K26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J41"/>
  <c r="K41"/>
  <c r="J42"/>
  <c r="K42"/>
  <c r="J43"/>
  <c r="K43"/>
  <c r="J44"/>
  <c r="K44"/>
  <c r="J45"/>
  <c r="K45"/>
  <c r="J46"/>
  <c r="K46"/>
  <c r="J47"/>
  <c r="K47"/>
  <c r="J48"/>
  <c r="K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K2"/>
  <c r="J2"/>
  <c r="F3" l="1"/>
  <c r="C3" s="1"/>
  <c r="F4"/>
  <c r="C4" s="1"/>
  <c r="F5"/>
  <c r="C5" s="1"/>
  <c r="F6"/>
  <c r="F7"/>
  <c r="C7" s="1"/>
  <c r="F8"/>
  <c r="C8" s="1"/>
  <c r="F9"/>
  <c r="C9" s="1"/>
  <c r="F10"/>
  <c r="F11"/>
  <c r="F12"/>
  <c r="C12" s="1"/>
  <c r="F13"/>
  <c r="C13" s="1"/>
  <c r="F14"/>
  <c r="C14" s="1"/>
  <c r="F15"/>
  <c r="C15" s="1"/>
  <c r="F16"/>
  <c r="C16" s="1"/>
  <c r="F17"/>
  <c r="C17" s="1"/>
  <c r="F18"/>
  <c r="C18" s="1"/>
  <c r="F19"/>
  <c r="C19" s="1"/>
  <c r="F20"/>
  <c r="F21"/>
  <c r="C21" s="1"/>
  <c r="F22"/>
  <c r="C22" s="1"/>
  <c r="F23"/>
  <c r="F24"/>
  <c r="F25"/>
  <c r="C25" s="1"/>
  <c r="F26"/>
  <c r="F27"/>
  <c r="F28"/>
  <c r="C28" s="1"/>
  <c r="F29"/>
  <c r="C29" s="1"/>
  <c r="F30"/>
  <c r="C30" s="1"/>
  <c r="F31"/>
  <c r="C31" s="1"/>
  <c r="F32"/>
  <c r="C32" s="1"/>
  <c r="F33"/>
  <c r="C33" s="1"/>
  <c r="F34"/>
  <c r="C34" s="1"/>
  <c r="F35"/>
  <c r="C35" s="1"/>
  <c r="F36"/>
  <c r="C36" s="1"/>
  <c r="F37"/>
  <c r="C37" s="1"/>
  <c r="F38"/>
  <c r="C38" s="1"/>
  <c r="F39"/>
  <c r="C39" s="1"/>
  <c r="F40"/>
  <c r="C40" s="1"/>
  <c r="F41"/>
  <c r="C41" s="1"/>
  <c r="F42"/>
  <c r="C42" s="1"/>
  <c r="F43"/>
  <c r="C43" s="1"/>
  <c r="F44"/>
  <c r="C44" s="1"/>
  <c r="F45"/>
  <c r="C45" s="1"/>
  <c r="F46"/>
  <c r="C46" s="1"/>
  <c r="F47"/>
  <c r="C47" s="1"/>
  <c r="F48"/>
  <c r="C48" s="1"/>
  <c r="F49"/>
  <c r="C49" s="1"/>
  <c r="F50"/>
  <c r="C50" s="1"/>
  <c r="F51"/>
  <c r="C51" s="1"/>
  <c r="F52"/>
  <c r="C52" s="1"/>
  <c r="F53"/>
  <c r="C53" s="1"/>
  <c r="F54"/>
  <c r="C54" s="1"/>
  <c r="F55"/>
  <c r="C55" s="1"/>
  <c r="F56"/>
  <c r="C56" s="1"/>
  <c r="F57"/>
  <c r="C57" s="1"/>
  <c r="F58"/>
  <c r="C58" s="1"/>
  <c r="F59"/>
  <c r="C59" s="1"/>
  <c r="F60"/>
  <c r="C60" s="1"/>
  <c r="F61"/>
  <c r="C61" s="1"/>
  <c r="F2"/>
  <c r="C2" s="1"/>
  <c r="W1" a="1"/>
  <c r="W1" s="1"/>
  <c r="V61"/>
  <c r="V60"/>
  <c r="U59"/>
  <c r="V58"/>
  <c r="V57"/>
  <c r="U56"/>
  <c r="U55"/>
  <c r="V55" s="1"/>
  <c r="V54"/>
  <c r="V53"/>
  <c r="V52"/>
  <c r="V51"/>
  <c r="V50"/>
  <c r="V49"/>
  <c r="U48"/>
  <c r="V47"/>
  <c r="V46"/>
  <c r="V45"/>
  <c r="V44"/>
  <c r="V43"/>
  <c r="V42"/>
  <c r="V41"/>
  <c r="V40"/>
  <c r="V39"/>
  <c r="V38"/>
  <c r="U37"/>
  <c r="V37" s="1"/>
  <c r="V36"/>
  <c r="V35"/>
  <c r="V34"/>
  <c r="V33"/>
  <c r="V32"/>
  <c r="V31"/>
  <c r="V30"/>
  <c r="U29"/>
  <c r="V28"/>
  <c r="V27"/>
  <c r="U26"/>
  <c r="V26" s="1"/>
  <c r="U25"/>
  <c r="V24"/>
  <c r="V23"/>
  <c r="V22"/>
  <c r="V21"/>
  <c r="V20"/>
  <c r="U19"/>
  <c r="V19" s="1"/>
  <c r="V18"/>
  <c r="U17"/>
  <c r="V16"/>
  <c r="V15"/>
  <c r="V14"/>
  <c r="V13"/>
  <c r="V12"/>
  <c r="U11"/>
  <c r="V11" s="1"/>
  <c r="V10"/>
  <c r="U9"/>
  <c r="V9" s="1"/>
  <c r="V8"/>
  <c r="V7"/>
  <c r="V6"/>
  <c r="U5"/>
  <c r="V5" s="1"/>
  <c r="U4"/>
  <c r="V4" s="1"/>
  <c r="V3"/>
  <c r="U2"/>
  <c r="V2" l="1"/>
  <c r="Z1"/>
  <c r="AB1"/>
  <c r="X1"/>
  <c r="AA1"/>
  <c r="Y1"/>
  <c r="V17"/>
  <c r="V25"/>
  <c r="V29"/>
  <c r="V48"/>
  <c r="V56"/>
  <c r="V59"/>
  <c r="C26" l="1"/>
  <c r="C23"/>
  <c r="C11"/>
  <c r="C6"/>
  <c r="C27"/>
  <c r="C24"/>
  <c r="C20"/>
  <c r="C10"/>
  <c r="B60" l="1"/>
  <c r="B56"/>
  <c r="B52"/>
  <c r="B48"/>
  <c r="B44"/>
  <c r="B40"/>
  <c r="B36"/>
  <c r="B32"/>
  <c r="B28"/>
  <c r="B18"/>
  <c r="B14"/>
  <c r="B8"/>
  <c r="B61"/>
  <c r="B57"/>
  <c r="B51"/>
  <c r="B47"/>
  <c r="B43"/>
  <c r="B39"/>
  <c r="B35"/>
  <c r="B33"/>
  <c r="B29"/>
  <c r="B21"/>
  <c r="B17"/>
  <c r="B13"/>
  <c r="B7"/>
  <c r="B3"/>
  <c r="B5"/>
  <c r="B2"/>
  <c r="B58"/>
  <c r="B54"/>
  <c r="B50"/>
  <c r="B46"/>
  <c r="B42"/>
  <c r="B38"/>
  <c r="B34"/>
  <c r="B30"/>
  <c r="B22"/>
  <c r="B16"/>
  <c r="B12"/>
  <c r="B4"/>
  <c r="B59"/>
  <c r="B55"/>
  <c r="B53"/>
  <c r="B49"/>
  <c r="B45"/>
  <c r="B41"/>
  <c r="B37"/>
  <c r="B31"/>
  <c r="B25"/>
  <c r="B19"/>
  <c r="B15"/>
  <c r="B9"/>
  <c r="B10"/>
  <c r="B6"/>
  <c r="B20"/>
  <c r="B11"/>
  <c r="B24"/>
  <c r="B23"/>
  <c r="B27"/>
  <c r="B26"/>
  <c r="Z2" l="1"/>
  <c r="X12"/>
  <c r="AB12"/>
  <c r="Y12"/>
  <c r="Z12"/>
  <c r="W12"/>
  <c r="AB35"/>
  <c r="W22" l="1"/>
  <c r="W55"/>
  <c r="W43"/>
  <c r="W60"/>
  <c r="W61"/>
  <c r="X3"/>
  <c r="X10"/>
  <c r="X11"/>
  <c r="W11"/>
  <c r="X34"/>
  <c r="W34"/>
  <c r="X38"/>
  <c r="W38"/>
  <c r="X36"/>
  <c r="W36"/>
  <c r="X22"/>
  <c r="X35"/>
  <c r="W35"/>
  <c r="X2"/>
  <c r="W2"/>
  <c r="X55"/>
  <c r="X43"/>
  <c r="X60"/>
  <c r="X61"/>
  <c r="X9"/>
  <c r="X6"/>
  <c r="W6"/>
  <c r="X33"/>
  <c r="W33"/>
  <c r="X37"/>
  <c r="X39"/>
  <c r="X47"/>
  <c r="X48"/>
  <c r="W48"/>
  <c r="X56"/>
  <c r="X54"/>
  <c r="X58"/>
  <c r="X46"/>
  <c r="X49"/>
  <c r="X41"/>
  <c r="W41"/>
  <c r="X42"/>
  <c r="X40"/>
  <c r="X59"/>
  <c r="W59"/>
  <c r="X50"/>
  <c r="W3"/>
  <c r="W10"/>
  <c r="W9"/>
  <c r="W37"/>
  <c r="W39"/>
  <c r="W47"/>
  <c r="W56"/>
  <c r="W54"/>
  <c r="W58"/>
  <c r="W46"/>
  <c r="W49"/>
  <c r="W42"/>
  <c r="W40"/>
  <c r="W50"/>
  <c r="W13" l="1"/>
  <c r="W15"/>
  <c r="W14"/>
  <c r="X15"/>
  <c r="X13"/>
  <c r="X14"/>
  <c r="X53"/>
  <c r="X52"/>
  <c r="W44"/>
  <c r="W45"/>
  <c r="W31"/>
  <c r="W32"/>
  <c r="W30"/>
  <c r="X24"/>
  <c r="X23"/>
  <c r="X27"/>
  <c r="W29"/>
  <c r="W28"/>
  <c r="X21"/>
  <c r="X20"/>
  <c r="X25"/>
  <c r="X26"/>
  <c r="W17"/>
  <c r="W19"/>
  <c r="W18"/>
  <c r="W16"/>
  <c r="X7"/>
  <c r="X8"/>
  <c r="W5"/>
  <c r="W4"/>
  <c r="W51"/>
  <c r="W57"/>
  <c r="X5"/>
  <c r="X4"/>
  <c r="X57"/>
  <c r="X51"/>
  <c r="W52"/>
  <c r="W53"/>
  <c r="X45"/>
  <c r="X44"/>
  <c r="X31"/>
  <c r="X30"/>
  <c r="X32"/>
  <c r="W24"/>
  <c r="W23"/>
  <c r="W27"/>
  <c r="X29"/>
  <c r="X28"/>
  <c r="X19"/>
  <c r="X17"/>
  <c r="X16"/>
  <c r="X18"/>
  <c r="W7"/>
  <c r="W8"/>
  <c r="W21"/>
  <c r="W20"/>
  <c r="W25"/>
  <c r="W26"/>
  <c r="Z35"/>
  <c r="Z39"/>
  <c r="Z40"/>
  <c r="Z47"/>
  <c r="Z48"/>
  <c r="Z55"/>
  <c r="Z56"/>
  <c r="Z59"/>
  <c r="Z43"/>
  <c r="Z60"/>
  <c r="Z54"/>
  <c r="Z58"/>
  <c r="Z50"/>
  <c r="Z46"/>
  <c r="Z49"/>
  <c r="Z61"/>
  <c r="Z41"/>
  <c r="Z42"/>
  <c r="Z14" l="1"/>
  <c r="Z13"/>
  <c r="Z15"/>
  <c r="Z57"/>
  <c r="Z51"/>
  <c r="Z44"/>
  <c r="Z45"/>
  <c r="Z52"/>
  <c r="Z53"/>
  <c r="Z3"/>
  <c r="Z10"/>
  <c r="Z9"/>
  <c r="Z6"/>
  <c r="Z34"/>
  <c r="Z38"/>
  <c r="Z33"/>
  <c r="Z37"/>
  <c r="Z36"/>
  <c r="Z22"/>
  <c r="AB42"/>
  <c r="AB40"/>
  <c r="AB2"/>
  <c r="AB39"/>
  <c r="Z11"/>
  <c r="Y61"/>
  <c r="Y42"/>
  <c r="Y50"/>
  <c r="Y60"/>
  <c r="Y43"/>
  <c r="Y59"/>
  <c r="Y55"/>
  <c r="Y40"/>
  <c r="Y2"/>
  <c r="Y39"/>
  <c r="Y41"/>
  <c r="Y49"/>
  <c r="Y46"/>
  <c r="Y58"/>
  <c r="Y54"/>
  <c r="Y56"/>
  <c r="Y48"/>
  <c r="Y47"/>
  <c r="Y35"/>
  <c r="AB50"/>
  <c r="AB61"/>
  <c r="AB49"/>
  <c r="AB41"/>
  <c r="AB60"/>
  <c r="AB43"/>
  <c r="AB59"/>
  <c r="AB55"/>
  <c r="AB48"/>
  <c r="AB46"/>
  <c r="AB58"/>
  <c r="AB54"/>
  <c r="AB56"/>
  <c r="AB47"/>
  <c r="AB57" l="1"/>
  <c r="AB51"/>
  <c r="Y45"/>
  <c r="Y44"/>
  <c r="Y15"/>
  <c r="Y13"/>
  <c r="Y14"/>
  <c r="Y53"/>
  <c r="Y52"/>
  <c r="Y57"/>
  <c r="Y51"/>
  <c r="Z32"/>
  <c r="Z30"/>
  <c r="Z31"/>
  <c r="Z21"/>
  <c r="Z20"/>
  <c r="Z24"/>
  <c r="Z23"/>
  <c r="Z27"/>
  <c r="Z26"/>
  <c r="Z25"/>
  <c r="Z28"/>
  <c r="Z29"/>
  <c r="Z18"/>
  <c r="Z16"/>
  <c r="Z17"/>
  <c r="Z19"/>
  <c r="Z8"/>
  <c r="Z7"/>
  <c r="Z4"/>
  <c r="Z5"/>
  <c r="AB52"/>
  <c r="AB53"/>
  <c r="AB44"/>
  <c r="AB45"/>
  <c r="AB14"/>
  <c r="AB15"/>
  <c r="AB13"/>
  <c r="AB36"/>
  <c r="AB38"/>
  <c r="AB3"/>
  <c r="AB37"/>
  <c r="AB33"/>
  <c r="AB34"/>
  <c r="Y10"/>
  <c r="Y22"/>
  <c r="Y36"/>
  <c r="Y38"/>
  <c r="Y34"/>
  <c r="Y6"/>
  <c r="Y9"/>
  <c r="Y3"/>
  <c r="Y37"/>
  <c r="Y33"/>
  <c r="Y11"/>
  <c r="AB11"/>
  <c r="AB6"/>
  <c r="AB9"/>
  <c r="AB10"/>
  <c r="AB22"/>
  <c r="Y24" l="1"/>
  <c r="Y23"/>
  <c r="Y27"/>
  <c r="Y31"/>
  <c r="Y30"/>
  <c r="Y32"/>
  <c r="Y29"/>
  <c r="Y28"/>
  <c r="Y21"/>
  <c r="Y20"/>
  <c r="Y25"/>
  <c r="Y26"/>
  <c r="Y5"/>
  <c r="Y4"/>
  <c r="Y8"/>
  <c r="Y7"/>
  <c r="AB28"/>
  <c r="AB29"/>
  <c r="AB24"/>
  <c r="AB23"/>
  <c r="AB27"/>
  <c r="AB4"/>
  <c r="AB5"/>
  <c r="AB16"/>
  <c r="AB18"/>
  <c r="AB19"/>
  <c r="AB17"/>
  <c r="AB25"/>
  <c r="AB26"/>
  <c r="AB20"/>
  <c r="AB21"/>
  <c r="Y19"/>
  <c r="Y17"/>
  <c r="Y16"/>
  <c r="Y18"/>
  <c r="AB30"/>
  <c r="AB32"/>
  <c r="AB31"/>
  <c r="AB7"/>
  <c r="AB8"/>
  <c r="AA12" l="1"/>
  <c r="AA24" l="1"/>
  <c r="AA23"/>
  <c r="AA27"/>
  <c r="AA60" l="1"/>
  <c r="AA11"/>
  <c r="AA6" l="1"/>
  <c r="AA42"/>
  <c r="AA43"/>
  <c r="AA47"/>
  <c r="AA9"/>
  <c r="AA39"/>
  <c r="AA10"/>
  <c r="AA3"/>
  <c r="AA2"/>
  <c r="AA59"/>
  <c r="AA34"/>
  <c r="AA38"/>
  <c r="AA22"/>
  <c r="AA50"/>
  <c r="AA58"/>
  <c r="AA56"/>
  <c r="AA49"/>
  <c r="AA33"/>
  <c r="AA48"/>
  <c r="AA40"/>
  <c r="AA41"/>
  <c r="AA54"/>
  <c r="AA46"/>
  <c r="AA8" l="1"/>
  <c r="AA7"/>
  <c r="AA57"/>
  <c r="AA51"/>
  <c r="AA44"/>
  <c r="AA45"/>
  <c r="AA32"/>
  <c r="AA30"/>
  <c r="AA31"/>
  <c r="AA14"/>
  <c r="AA13"/>
  <c r="AA15"/>
  <c r="AA21"/>
  <c r="AA20"/>
  <c r="AA52"/>
  <c r="AA53"/>
  <c r="AA18"/>
  <c r="AA16"/>
  <c r="AA17"/>
  <c r="AA19"/>
  <c r="AA26"/>
  <c r="AA25"/>
  <c r="AA4"/>
  <c r="AA5"/>
  <c r="AA28"/>
  <c r="AA29"/>
  <c r="AA36"/>
  <c r="AA61"/>
  <c r="AA37"/>
</calcChain>
</file>

<file path=xl/sharedStrings.xml><?xml version="1.0" encoding="utf-8"?>
<sst xmlns="http://schemas.openxmlformats.org/spreadsheetml/2006/main" count="909" uniqueCount="415">
  <si>
    <t>Taping</t>
    <phoneticPr fontId="2" type="noConversion"/>
  </si>
  <si>
    <t>B/G</t>
    <phoneticPr fontId="2" type="noConversion"/>
  </si>
  <si>
    <t>D/S</t>
    <phoneticPr fontId="2" type="noConversion"/>
  </si>
  <si>
    <t>DA</t>
    <phoneticPr fontId="2" type="noConversion"/>
  </si>
  <si>
    <t>WB</t>
    <phoneticPr fontId="2" type="noConversion"/>
  </si>
  <si>
    <t>MOLD</t>
    <phoneticPr fontId="2" type="noConversion"/>
  </si>
  <si>
    <t>Product</t>
  </si>
  <si>
    <t>MB</t>
  </si>
  <si>
    <t>Material</t>
  </si>
  <si>
    <t xml:space="preserve">Packing </t>
  </si>
  <si>
    <t>Material Description</t>
  </si>
  <si>
    <t>Wafer</t>
  </si>
  <si>
    <t>Controller</t>
  </si>
  <si>
    <t>Substrates</t>
  </si>
  <si>
    <t>Die</t>
  </si>
  <si>
    <t>201142 (Units)</t>
  </si>
  <si>
    <t>201142 (SDE)</t>
  </si>
  <si>
    <t>GAMING</t>
  </si>
  <si>
    <t>2048</t>
  </si>
  <si>
    <t>54-62-07010-002G</t>
  </si>
  <si>
    <t>SDGCD,2048MB,PhoenixC2H,16384MA03,eX3,KK</t>
  </si>
  <si>
    <t>54-81-00456-00KKS</t>
  </si>
  <si>
    <t>20-81-00325</t>
  </si>
  <si>
    <t>54-49-01246</t>
  </si>
  <si>
    <t>INAND5</t>
  </si>
  <si>
    <t>16384</t>
  </si>
  <si>
    <t>QDBGA12*16</t>
  </si>
  <si>
    <t>54-81-00477-10KKS</t>
  </si>
  <si>
    <t>20-81-00251-2</t>
  </si>
  <si>
    <t>54-82-06175-002G</t>
  </si>
  <si>
    <t>BGA 13X11.5</t>
  </si>
  <si>
    <t>SDIN5D1,2048MB,PhoenixC2,16384MA03ED3,KK</t>
  </si>
  <si>
    <t>54-49-01162</t>
  </si>
  <si>
    <t>54-82-06397-002G</t>
  </si>
  <si>
    <t>SDIN5D2,2048MB,PhoenixC2,16384MA03,KK,Ge</t>
  </si>
  <si>
    <t>54-81-00823-10KKS</t>
  </si>
  <si>
    <t>20-81-00251-2B2</t>
  </si>
  <si>
    <t>54-49-01088</t>
  </si>
  <si>
    <t>54-82-06439-002G</t>
  </si>
  <si>
    <t>32768</t>
  </si>
  <si>
    <t>SDIN5C2-32G,PhoenixC2H,4D65536MA02HBL,KK</t>
  </si>
  <si>
    <t>54-81-00422-40KKS</t>
  </si>
  <si>
    <t>20-81-00303-1</t>
  </si>
  <si>
    <t>54-49-01210</t>
  </si>
  <si>
    <t>4096</t>
  </si>
  <si>
    <t>54-82-06143-004G</t>
  </si>
  <si>
    <t>BGA12*16</t>
  </si>
  <si>
    <t>SDIN5C2,4096MB,PhoenixC2,32768MA03,KK,Ge</t>
  </si>
  <si>
    <t>54-81-00367-20KKS</t>
  </si>
  <si>
    <t>54-49-01108</t>
  </si>
  <si>
    <t>54-82-06464-004G</t>
  </si>
  <si>
    <t>54-81-00410-20KKS</t>
  </si>
  <si>
    <t>8192</t>
  </si>
  <si>
    <t>54-82-06143-008G</t>
  </si>
  <si>
    <t>DDBGA12*16</t>
  </si>
  <si>
    <t>SDIN5C2,8192MB,PhoenixC2,2D32768MA03,KK,</t>
  </si>
  <si>
    <t>54-82-07407-008G</t>
  </si>
  <si>
    <t>SDIN5C2-8G,PhoenixC2H,65536MA02HBL,KK,SD</t>
  </si>
  <si>
    <t>54-81-00423-40KKS</t>
  </si>
  <si>
    <t>inand MCP</t>
  </si>
  <si>
    <t>54-82-07798-016G</t>
  </si>
  <si>
    <t>54-81-00423-40kks</t>
  </si>
  <si>
    <t>20-81-00342-1</t>
  </si>
  <si>
    <t>54-50-03739-DAP</t>
  </si>
  <si>
    <t>MEMORY DEVICE</t>
  </si>
  <si>
    <t>54-82-05010-016G</t>
  </si>
  <si>
    <t>QDLGA14X11</t>
  </si>
  <si>
    <t>52LGA,16GB,4D32768MA03D2,KK,PbF,APL,SDSS</t>
  </si>
  <si>
    <t>54-81-00395-20KKS</t>
  </si>
  <si>
    <t>(blank)</t>
  </si>
  <si>
    <t>54-50-03364-DAE</t>
  </si>
  <si>
    <t>54-82-05105-032G</t>
  </si>
  <si>
    <t>4DLGA 14X18</t>
  </si>
  <si>
    <t>52LGA,32GB,64GbMA02HBL,4D,KK,PbF,APL,SDS</t>
  </si>
  <si>
    <t>54-81-00411-40KKS</t>
  </si>
  <si>
    <t>54-50-03619-DR</t>
  </si>
  <si>
    <t>54-81-00492-40KKS</t>
  </si>
  <si>
    <t>54-81-00493-40KKS</t>
  </si>
  <si>
    <t>MICROSD</t>
  </si>
  <si>
    <t>1024</t>
  </si>
  <si>
    <t>54-62-05628-001G</t>
  </si>
  <si>
    <t>LGA11X15</t>
  </si>
  <si>
    <t>SDSDQ,1024MB,PhoenixC1,8192MA03,KK,MTCT,</t>
  </si>
  <si>
    <t>54-81-00457-00KKS</t>
  </si>
  <si>
    <t>20-81-00250-1</t>
  </si>
  <si>
    <t>54-49-01120</t>
  </si>
  <si>
    <t>54-62-05630-001G</t>
  </si>
  <si>
    <t>54-62-06683-001G</t>
  </si>
  <si>
    <t>SDSDQ,1024MB,PhoenixC1,8192MA03,MTCT,SDS</t>
  </si>
  <si>
    <t>54-81-00457</t>
  </si>
  <si>
    <t>54-62-06684-001G</t>
  </si>
  <si>
    <t>SDSDQ,1024MB,PhoenixC1,8192MA03,MTCT,NoB</t>
  </si>
  <si>
    <t>DDLGA11X15</t>
  </si>
  <si>
    <t>SDSDQ,16384MB,PC2H,2D65536MA.02,eX3,KK,M</t>
  </si>
  <si>
    <t>54-81-00465-30KKS</t>
  </si>
  <si>
    <t>54-49-01230</t>
  </si>
  <si>
    <t>54-62-08651-016G</t>
  </si>
  <si>
    <t>SDSDQY,16384MB,PC2H,2D65536MA02,eX3,MTCT</t>
  </si>
  <si>
    <t>54-81-00465-3</t>
  </si>
  <si>
    <t>20-81-00339-1</t>
  </si>
  <si>
    <t>54-82-05873-016G</t>
  </si>
  <si>
    <t>QDLGA11X15</t>
  </si>
  <si>
    <t>SDSDQ,16384MB,PhoenixC2U,4D32768MA03,eX3</t>
  </si>
  <si>
    <t>54-49-01036</t>
  </si>
  <si>
    <t>SDSDQ-2048MB,PHOENIXC1,16384MA.04,D3,KGD</t>
  </si>
  <si>
    <t>54-81-00324-30KKS</t>
  </si>
  <si>
    <t>54-49-00946</t>
  </si>
  <si>
    <t>SDSDQ,2048MB,PHOENIXC1,16384MA04,D3,KK,M</t>
  </si>
  <si>
    <t>54-81-00366-30KKS</t>
  </si>
  <si>
    <t>54-62-05988-002G</t>
  </si>
  <si>
    <t>SDSDQ,2048MB,3RD PARTY 8009 8',16384MA.0</t>
  </si>
  <si>
    <t>54-81-00324-3T</t>
  </si>
  <si>
    <t>20-81-00292</t>
  </si>
  <si>
    <t>54-49-01086</t>
  </si>
  <si>
    <t>54-62-07807-002G</t>
  </si>
  <si>
    <t>SDSDQ,2048MB,PhoenixC2R,16384MA03,eX3,MT</t>
  </si>
  <si>
    <t>54-81-00456</t>
  </si>
  <si>
    <t>20-81-00277-1</t>
  </si>
  <si>
    <t>54-49-01118</t>
  </si>
  <si>
    <t>54-62-07810-002G</t>
  </si>
  <si>
    <t>54-82-08205-032G</t>
  </si>
  <si>
    <t>SDSDQ,32768MB,PC2H,4D65536MA.02,eX3,KK,P</t>
  </si>
  <si>
    <t>54-49-01232</t>
  </si>
  <si>
    <t>54-82-08505-032G</t>
  </si>
  <si>
    <t>54-49-01324</t>
  </si>
  <si>
    <t>54-82-08651-032G</t>
  </si>
  <si>
    <t>SDSDQ,32768MB,PC2H,4D65536MA02,eX3,KK,Hi</t>
  </si>
  <si>
    <t>20-81-00303-1B2</t>
  </si>
  <si>
    <t>54-62-06601-004G</t>
  </si>
  <si>
    <t>SDSDQE,4096MB,ComboS4E,2D16384MA.03,KK,M</t>
  </si>
  <si>
    <t>54-81-00450-10KKS</t>
  </si>
  <si>
    <t>20-81-00123-1</t>
  </si>
  <si>
    <t>54-49-01124</t>
  </si>
  <si>
    <t>54-62-08178-004G</t>
  </si>
  <si>
    <t>SDSDQ,4GB,PC2H,32768MA02,eX3,MTCT,Perf C</t>
  </si>
  <si>
    <t>54-81-00464</t>
  </si>
  <si>
    <t>54-49-01300</t>
  </si>
  <si>
    <t>65536</t>
  </si>
  <si>
    <t>54-82-08651-064G</t>
  </si>
  <si>
    <t>ODLGA11X15</t>
  </si>
  <si>
    <t>SDSDQ,65536MB,PC2H,8D65536MA02,eX3,KK,Hi</t>
  </si>
  <si>
    <t>54-49-01298</t>
  </si>
  <si>
    <t>54-62-05855-008G</t>
  </si>
  <si>
    <t>SDSDQ,8192MB,PHOENIXC2U,2D32768MA03,EX3,</t>
  </si>
  <si>
    <t>54-49-01038</t>
  </si>
  <si>
    <t>54-62-08700-008G</t>
  </si>
  <si>
    <t>SDSDQ,4096MB,PHOENIXC2U,32768MA03,EX3,KK</t>
  </si>
  <si>
    <t>20-81-00251-1B2</t>
  </si>
  <si>
    <t>54-50-03391-SAC</t>
  </si>
  <si>
    <t>54-62-08088-008G</t>
  </si>
  <si>
    <t>SDSDQ,8192MB,PC2H,65536MA.02,eX3,MTCT,Pe</t>
  </si>
  <si>
    <t>54-49-01326</t>
  </si>
  <si>
    <t>MSPRODUO</t>
  </si>
  <si>
    <t>54-62-06545-002G</t>
  </si>
  <si>
    <t>SDMSPD,2048MB,PhoenixC2R,16384MA03,eX3,M</t>
  </si>
  <si>
    <t>54-49-01160</t>
  </si>
  <si>
    <t>54-62-04630-004G</t>
  </si>
  <si>
    <t>SDMSPD,4096MB,PhoenixC2,32768MA.03,eX3,M</t>
  </si>
  <si>
    <t>54-81-00477-1</t>
  </si>
  <si>
    <t>54-49-01014</t>
  </si>
  <si>
    <t>PSSD</t>
  </si>
  <si>
    <t>54-82-05056-032G</t>
  </si>
  <si>
    <t>52LGA,32GB,64GbMA02X2,4D,KK,PbF,pSSD,SDS</t>
  </si>
  <si>
    <t>54-81-00402-20KKS</t>
  </si>
  <si>
    <t>54-50-03675-DR</t>
  </si>
  <si>
    <t>54-82-05056-064G</t>
  </si>
  <si>
    <t>8D LGA 14X18</t>
  </si>
  <si>
    <t>52LGA,64GB,64GbMA02X2,8D,KK,PbF,pSSD,SDS</t>
  </si>
  <si>
    <t>SD</t>
  </si>
  <si>
    <t>54-62-08211-016G</t>
  </si>
  <si>
    <t>2DLGA21.35X10.1</t>
  </si>
  <si>
    <t>SDSD,16384MB,PhoenixC2H,2D65536MA02,eX3,</t>
  </si>
  <si>
    <t>54-49-01236</t>
  </si>
  <si>
    <t>54-62-08547-016G</t>
  </si>
  <si>
    <t>2DLGA21.35X13.98</t>
  </si>
  <si>
    <t>SDSD,16384MB,PC2R,2D65536MA02,HBL,RevE,D</t>
  </si>
  <si>
    <t>54-81-00412-4C</t>
  </si>
  <si>
    <t>54-49-01196</t>
  </si>
  <si>
    <t>54-81-00449-4C</t>
  </si>
  <si>
    <t>54-82-08707-016G</t>
  </si>
  <si>
    <t>4DLGA21.35X13.98</t>
  </si>
  <si>
    <t>SDSDXP,16384MB,PC2H,4D65536MA02,KK,SDSS,</t>
  </si>
  <si>
    <t>54-49-01308</t>
  </si>
  <si>
    <t>54-62-06038-002G</t>
  </si>
  <si>
    <t>LGA21.35X10.1</t>
  </si>
  <si>
    <t>SDSD,2048MB,PhoenixC2R,16384MA.03,MTCT,S</t>
  </si>
  <si>
    <t>54-81-00344-1</t>
  </si>
  <si>
    <t>54-49-01190</t>
  </si>
  <si>
    <t>54-62-06060-002G</t>
  </si>
  <si>
    <t>SDSD,2048MB,PhoenixC2R,16384MA03,eX3,MTC</t>
  </si>
  <si>
    <t>54-81-00396</t>
  </si>
  <si>
    <t>54-49-01180</t>
  </si>
  <si>
    <t>54-82-06646-032G</t>
  </si>
  <si>
    <t>8DLGA21.35X13.98</t>
  </si>
  <si>
    <t>SDSDX3,32768MB,PhoenixC2,8D32768MA.03,KK</t>
  </si>
  <si>
    <t>54-81-00389-20KKS</t>
  </si>
  <si>
    <t>54-49-01134</t>
  </si>
  <si>
    <t>54-82-08547-032G</t>
  </si>
  <si>
    <t>SDSD,32768MB,PC2R,4D65536M02,KK,HBL,RevE</t>
  </si>
  <si>
    <t>54-81-00412-40KKS</t>
  </si>
  <si>
    <t>54-82-08707-032G</t>
  </si>
  <si>
    <t>SDSDXP,32768MB,PC2H,8D65536MA02,KK,SDSS,</t>
  </si>
  <si>
    <t>54-62-06538-004G</t>
  </si>
  <si>
    <t>SDSD,4096MB,PhoenixC2R,32768MA.03,eX3,MT</t>
  </si>
  <si>
    <t>54-49-01150</t>
  </si>
  <si>
    <t>54-81-00477-1LKKS</t>
  </si>
  <si>
    <t>54-62-06767-004G</t>
  </si>
  <si>
    <t>SDSDX3,4096MB,PhoenixC2,2D1638403MA,KK,H</t>
  </si>
  <si>
    <t>54-81-00379-10KKS</t>
  </si>
  <si>
    <t>54-62-08140-004G</t>
  </si>
  <si>
    <t>SDSD,4096MB,PhoenixC2H,32768MA02,X2,MTCT</t>
  </si>
  <si>
    <t>54-81-00400</t>
  </si>
  <si>
    <t>54-49-01252</t>
  </si>
  <si>
    <t>54-62-08213-004G</t>
  </si>
  <si>
    <t>SDSD,4096MB,PhoenixC2H,32768MA.02,eX3,MT</t>
  </si>
  <si>
    <t>54-82-08707-064G</t>
  </si>
  <si>
    <t>SDSDXP,65536MB,PhoenixC2H,8D65536MA02,KK</t>
  </si>
  <si>
    <t>54-62-06646-008G</t>
  </si>
  <si>
    <t>SDSDX3,8192MB,PhoenixC2,2D32768MA03,KK,H</t>
  </si>
  <si>
    <t>SDSD,8192MB,PC2R,65536MA02,HBL,RevE,DAT5</t>
  </si>
  <si>
    <t>20-81-00303-1b2</t>
  </si>
  <si>
    <t>54-50-01398</t>
  </si>
  <si>
    <t>54-82-08707-008G</t>
  </si>
  <si>
    <t>SDSDXP,8192MB,PC2H,2D65536MA02,KK,SDSS,H</t>
  </si>
  <si>
    <t>SSD</t>
  </si>
  <si>
    <t>54-82-05070-016G</t>
  </si>
  <si>
    <t>52LGA,16GB,32768MA03,4D,KK,PbF,SSD,PRDIS</t>
  </si>
  <si>
    <t>54-81-00369-20KKS</t>
  </si>
  <si>
    <t>54-50-03372-DR</t>
  </si>
  <si>
    <t>MC qty</t>
    <phoneticPr fontId="2" type="noConversion"/>
  </si>
  <si>
    <t>Taping</t>
    <phoneticPr fontId="2" type="noConversion"/>
  </si>
  <si>
    <t>B/G</t>
    <phoneticPr fontId="2" type="noConversion"/>
  </si>
  <si>
    <t>D/S</t>
    <phoneticPr fontId="2" type="noConversion"/>
  </si>
  <si>
    <t>DA</t>
    <phoneticPr fontId="2" type="noConversion"/>
  </si>
  <si>
    <t>WB</t>
    <phoneticPr fontId="2" type="noConversion"/>
  </si>
  <si>
    <t>MOLD</t>
    <phoneticPr fontId="2" type="noConversion"/>
  </si>
  <si>
    <t>No.</t>
    <phoneticPr fontId="2" type="noConversion"/>
  </si>
  <si>
    <t>Device</t>
  </si>
  <si>
    <t>Die QTY</t>
  </si>
  <si>
    <t>CTRLTYPE</t>
  </si>
  <si>
    <t>BD</t>
    <phoneticPr fontId="2" type="noConversion"/>
  </si>
  <si>
    <t>PKG Size</t>
    <phoneticPr fontId="2" type="noConversion"/>
  </si>
  <si>
    <t>Technology</t>
    <phoneticPr fontId="2" type="noConversion"/>
  </si>
  <si>
    <t>INAND</t>
    <phoneticPr fontId="2" type="noConversion"/>
  </si>
  <si>
    <t>MCP</t>
    <phoneticPr fontId="2" type="noConversion"/>
  </si>
  <si>
    <t>LGA</t>
    <phoneticPr fontId="2" type="noConversion"/>
  </si>
  <si>
    <t>LGA</t>
    <phoneticPr fontId="2" type="noConversion"/>
  </si>
  <si>
    <t>LGA15X10</t>
    <phoneticPr fontId="2" type="noConversion"/>
  </si>
  <si>
    <t>15X10</t>
  </si>
  <si>
    <t>15X10</t>
    <phoneticPr fontId="2" type="noConversion"/>
  </si>
  <si>
    <t>11.5X13</t>
    <phoneticPr fontId="2" type="noConversion"/>
  </si>
  <si>
    <t>12X16</t>
    <phoneticPr fontId="2" type="noConversion"/>
  </si>
  <si>
    <t>11X14</t>
    <phoneticPr fontId="2" type="noConversion"/>
  </si>
  <si>
    <t>14X18</t>
    <phoneticPr fontId="2" type="noConversion"/>
  </si>
  <si>
    <t>LGA11X15</t>
    <phoneticPr fontId="2" type="noConversion"/>
  </si>
  <si>
    <t>11X15</t>
  </si>
  <si>
    <t>LGA15X18</t>
    <phoneticPr fontId="2" type="noConversion"/>
  </si>
  <si>
    <t>15X18</t>
  </si>
  <si>
    <t>4DLGA 14X18</t>
    <phoneticPr fontId="2" type="noConversion"/>
  </si>
  <si>
    <t>2DLGA21.35X10.1</t>
    <phoneticPr fontId="2" type="noConversion"/>
  </si>
  <si>
    <t>21.35X10.1</t>
  </si>
  <si>
    <t>2DLGA21.35X13.98</t>
    <phoneticPr fontId="2" type="noConversion"/>
  </si>
  <si>
    <t>21.35X13.98</t>
  </si>
  <si>
    <t>54-07-03938</t>
    <phoneticPr fontId="2" type="noConversion"/>
  </si>
  <si>
    <t>12X16</t>
    <phoneticPr fontId="2" type="noConversion"/>
  </si>
  <si>
    <t>Family</t>
    <phoneticPr fontId="2" type="noConversion"/>
  </si>
  <si>
    <t>54-82-16459-002G</t>
    <phoneticPr fontId="2" type="noConversion"/>
  </si>
  <si>
    <t>54-82-08151-016G</t>
    <phoneticPr fontId="2" type="noConversion"/>
  </si>
  <si>
    <t>54-82-04295-002G</t>
    <phoneticPr fontId="2" type="noConversion"/>
  </si>
  <si>
    <t>54-82-06534-002G</t>
    <phoneticPr fontId="2" type="noConversion"/>
  </si>
  <si>
    <t>54-82-07407-032G</t>
    <phoneticPr fontId="2" type="noConversion"/>
  </si>
  <si>
    <t>54-82-04445-002G</t>
    <phoneticPr fontId="2" type="noConversion"/>
  </si>
  <si>
    <t>P3016KMD43B3</t>
  </si>
  <si>
    <t>54-82</t>
    <phoneticPr fontId="2" type="noConversion"/>
  </si>
  <si>
    <t>P3016KED32B3</t>
  </si>
  <si>
    <t>PHNXX2MH3P06A</t>
  </si>
  <si>
    <t>PHNXX2UX3P09B</t>
  </si>
  <si>
    <t>P3016KMA32B3</t>
  </si>
  <si>
    <t>P3065KMH24B3</t>
  </si>
  <si>
    <t>P3032KMA32B3</t>
  </si>
  <si>
    <t>NA</t>
  </si>
  <si>
    <t>P3008KMA32B3</t>
  </si>
  <si>
    <t>PHNXX1UX3P09A</t>
  </si>
  <si>
    <t>P3065KED24B3</t>
  </si>
  <si>
    <t>P3032KED32B3</t>
  </si>
  <si>
    <t>PHSNRCHCARD</t>
  </si>
  <si>
    <t>PHNXX2MR3P06A</t>
  </si>
  <si>
    <t>CMBOS4ML3P09A</t>
  </si>
  <si>
    <t>PHNXX2UX3P09A</t>
  </si>
  <si>
    <t>P3065KMA24B3</t>
  </si>
  <si>
    <t>P3032KMA24B3</t>
  </si>
  <si>
    <t>P3032KED24B3</t>
  </si>
  <si>
    <t>54-62-08211-008G</t>
    <phoneticPr fontId="2" type="noConversion"/>
  </si>
  <si>
    <t>Good die</t>
    <phoneticPr fontId="2" type="noConversion"/>
  </si>
  <si>
    <t>Sub-lot</t>
    <phoneticPr fontId="2" type="noConversion"/>
  </si>
  <si>
    <t>M-lot qty</t>
    <phoneticPr fontId="2" type="noConversion"/>
  </si>
  <si>
    <t>Unit/Strip</t>
    <phoneticPr fontId="2" type="noConversion"/>
  </si>
  <si>
    <t>Strip/magazine</t>
    <phoneticPr fontId="2" type="noConversion"/>
  </si>
  <si>
    <t>Magazine/lot</t>
    <phoneticPr fontId="2" type="noConversion"/>
  </si>
  <si>
    <t>Sub-lot qty</t>
    <phoneticPr fontId="2" type="noConversion"/>
  </si>
  <si>
    <t>M-lot</t>
    <phoneticPr fontId="2" type="noConversion"/>
  </si>
  <si>
    <t>Produce the 60 PNs one by one</t>
    <phoneticPr fontId="2" type="noConversion"/>
  </si>
  <si>
    <t>FE production flow</t>
    <phoneticPr fontId="2" type="noConversion"/>
  </si>
  <si>
    <t>All the PNs follow the same production flow</t>
    <phoneticPr fontId="2" type="noConversion"/>
  </si>
  <si>
    <t>M-Lot batch size</t>
    <phoneticPr fontId="2" type="noConversion"/>
  </si>
  <si>
    <t>Sub-lot batch size</t>
    <phoneticPr fontId="2" type="noConversion"/>
  </si>
  <si>
    <t>Magazine batch size</t>
    <phoneticPr fontId="2" type="noConversion"/>
  </si>
  <si>
    <t>Station</t>
    <phoneticPr fontId="2" type="noConversion"/>
  </si>
  <si>
    <t>Batch size</t>
    <phoneticPr fontId="2" type="noConversion"/>
  </si>
  <si>
    <t>Production flow&amp;logic</t>
    <phoneticPr fontId="2" type="noConversion"/>
  </si>
  <si>
    <t>Loading explanation</t>
    <phoneticPr fontId="2" type="noConversion"/>
  </si>
  <si>
    <t>Assume the yield is all 100%</t>
    <phoneticPr fontId="2" type="noConversion"/>
  </si>
  <si>
    <t>Operator qty</t>
    <phoneticPr fontId="2" type="noConversion"/>
  </si>
  <si>
    <t>1/4</t>
    <phoneticPr fontId="2" type="noConversion"/>
  </si>
  <si>
    <t>1/2</t>
    <phoneticPr fontId="2" type="noConversion"/>
  </si>
  <si>
    <t>1/6</t>
    <phoneticPr fontId="2" type="noConversion"/>
  </si>
  <si>
    <t>1/12</t>
    <phoneticPr fontId="2" type="noConversion"/>
  </si>
  <si>
    <t>1</t>
    <phoneticPr fontId="2" type="noConversion"/>
  </si>
  <si>
    <t>FIFO rule for every station</t>
    <phoneticPr fontId="2" type="noConversion"/>
  </si>
  <si>
    <t>there are hundreds of die on the wafer</t>
    <phoneticPr fontId="2" type="noConversion"/>
  </si>
  <si>
    <t>attach the die to substrate in DA station</t>
    <phoneticPr fontId="2" type="noConversion"/>
  </si>
  <si>
    <t>Taping</t>
  </si>
  <si>
    <t>B/G</t>
  </si>
  <si>
    <t>D/S</t>
  </si>
  <si>
    <t>DA</t>
  </si>
  <si>
    <t>WB</t>
  </si>
  <si>
    <t>MOLD</t>
  </si>
  <si>
    <t>M-Lot batch size</t>
  </si>
  <si>
    <t>M-lot qty</t>
  </si>
  <si>
    <t>Magazine batch size</t>
  </si>
  <si>
    <t>Sub-lot batch size</t>
  </si>
  <si>
    <t>Sub-lot qty</t>
  </si>
  <si>
    <t>54-82-07010-002G</t>
  </si>
  <si>
    <t>54-82-07407-032G</t>
  </si>
  <si>
    <t>54-82-05628-001G</t>
  </si>
  <si>
    <t>54-82-05630-001G</t>
  </si>
  <si>
    <t>54-82-06683-001G</t>
  </si>
  <si>
    <t>54-82-06684-001G</t>
  </si>
  <si>
    <t>54-82-08151-016G</t>
  </si>
  <si>
    <t>54-82-08651-016G</t>
  </si>
  <si>
    <t>54-82-04295-002G</t>
  </si>
  <si>
    <t>54-82-04445-002G</t>
  </si>
  <si>
    <t>54-82-05988-002G</t>
  </si>
  <si>
    <t>54-82-16459-002G</t>
  </si>
  <si>
    <t>54-82-06534-002G</t>
  </si>
  <si>
    <t>54-82-07807-002G</t>
  </si>
  <si>
    <t>54-82-07810-002G</t>
  </si>
  <si>
    <t>54-82-06601-004G</t>
  </si>
  <si>
    <t>54-82-08178-004G</t>
  </si>
  <si>
    <t>54-82-05855-008G</t>
  </si>
  <si>
    <t>54-82-08700-008G</t>
  </si>
  <si>
    <t>54-82-08088-008G</t>
  </si>
  <si>
    <t>54-82-06545-002G</t>
  </si>
  <si>
    <t>54-82-04630-004G</t>
  </si>
  <si>
    <t>54-82-08211-016G</t>
  </si>
  <si>
    <t>54-82-08547-016G</t>
  </si>
  <si>
    <t>54-82-06038-002G</t>
  </si>
  <si>
    <t>54-82-06060-002G</t>
  </si>
  <si>
    <t>54-82-06538-004G</t>
  </si>
  <si>
    <t>54-82-06767-004G</t>
  </si>
  <si>
    <t>54-82-08140-004G</t>
  </si>
  <si>
    <t>54-82-08213-004G</t>
  </si>
  <si>
    <t>54-82-06646-008G</t>
  </si>
  <si>
    <t>54-82-08211-008G</t>
  </si>
  <si>
    <t>PN</t>
    <phoneticPr fontId="2" type="noConversion"/>
  </si>
  <si>
    <t>Weekly loading</t>
    <phoneticPr fontId="2" type="noConversion"/>
  </si>
  <si>
    <t>UPH</t>
    <phoneticPr fontId="2" type="noConversion"/>
  </si>
  <si>
    <t>Remark</t>
    <phoneticPr fontId="2" type="noConversion"/>
  </si>
  <si>
    <t>M-lot qty is total loading divided by M-lot batch size and roundup</t>
    <phoneticPr fontId="2" type="noConversion"/>
  </si>
  <si>
    <t>Sub-lot qty is M-lot batch size divided by sub-lot batch size and roundup</t>
    <phoneticPr fontId="2" type="noConversion"/>
  </si>
  <si>
    <t>Use actual weekly loading</t>
    <phoneticPr fontId="2" type="noConversion"/>
  </si>
  <si>
    <t>Indicate the throughput/WIP/cycle time/machine utilization/bottleneck etc</t>
    <phoneticPr fontId="2" type="noConversion"/>
  </si>
  <si>
    <t xml:space="preserve">Simulate the actual production flow </t>
    <phoneticPr fontId="2" type="noConversion"/>
  </si>
  <si>
    <t>Main purpose in this demo:</t>
    <phoneticPr fontId="2" type="noConversion"/>
  </si>
  <si>
    <t>Batch size at each station are defined as below:</t>
    <phoneticPr fontId="2" type="noConversion"/>
  </si>
  <si>
    <t>1 M-lot on 1 set machine</t>
    <phoneticPr fontId="2" type="noConversion"/>
  </si>
  <si>
    <t>1 Sub-lot on 1 set machine</t>
    <phoneticPr fontId="2" type="noConversion"/>
  </si>
  <si>
    <t>Machine allocation</t>
    <phoneticPr fontId="2" type="noConversion"/>
  </si>
  <si>
    <t>After each batch production  finished at certain station, the batch should be transferred to next station to do the next step follow below rules:</t>
    <phoneticPr fontId="2" type="noConversion"/>
  </si>
  <si>
    <t>WIP is chansferred by manual with trolley between stations</t>
    <phoneticPr fontId="2" type="noConversion"/>
  </si>
  <si>
    <t>Input</t>
    <phoneticPr fontId="2" type="noConversion"/>
  </si>
  <si>
    <t>Output</t>
    <phoneticPr fontId="2" type="noConversion"/>
  </si>
  <si>
    <t>Process</t>
    <phoneticPr fontId="2" type="noConversion"/>
  </si>
  <si>
    <t>MC qty</t>
    <phoneticPr fontId="2" type="noConversion"/>
  </si>
  <si>
    <t>Logic</t>
    <phoneticPr fontId="2" type="noConversion"/>
  </si>
  <si>
    <t>Loading</t>
    <phoneticPr fontId="2" type="noConversion"/>
  </si>
  <si>
    <t>Throughput</t>
    <phoneticPr fontId="2" type="noConversion"/>
  </si>
  <si>
    <t>Machine utilization</t>
    <phoneticPr fontId="2" type="noConversion"/>
  </si>
  <si>
    <t>Bottleneck</t>
    <phoneticPr fontId="2" type="noConversion"/>
  </si>
  <si>
    <t>WIP status</t>
    <phoneticPr fontId="2" type="noConversion"/>
  </si>
  <si>
    <t>Layout</t>
    <phoneticPr fontId="2" type="noConversion"/>
  </si>
  <si>
    <t>Man/Machine rate</t>
    <phoneticPr fontId="2" type="noConversion"/>
  </si>
  <si>
    <t>MC Utilization</t>
    <phoneticPr fontId="2" type="noConversion"/>
  </si>
  <si>
    <t>Actual cycle time for each PN</t>
    <phoneticPr fontId="2" type="noConversion"/>
  </si>
  <si>
    <t>If there are free machines, choose the nearest machine</t>
    <phoneticPr fontId="2" type="noConversion"/>
  </si>
  <si>
    <t>If there is no free machine,choose the first and nearest machine that is going to be free</t>
    <phoneticPr fontId="2" type="noConversion"/>
  </si>
  <si>
    <t>out</t>
    <phoneticPr fontId="2" type="noConversion"/>
  </si>
  <si>
    <t>in</t>
    <phoneticPr fontId="2" type="noConversion"/>
  </si>
  <si>
    <t>每小时的加工数量</t>
    <phoneticPr fontId="2" type="noConversion"/>
  </si>
  <si>
    <r>
      <t>25</t>
    </r>
    <r>
      <rPr>
        <sz val="11"/>
        <color theme="1"/>
        <rFont val="宋体"/>
        <family val="3"/>
        <charset val="134"/>
      </rPr>
      <t>片</t>
    </r>
    <r>
      <rPr>
        <sz val="11"/>
        <color theme="1"/>
        <rFont val="Calibri"/>
        <family val="2"/>
      </rPr>
      <t>wafer</t>
    </r>
    <r>
      <rPr>
        <sz val="11"/>
        <color theme="1"/>
        <rFont val="宋体"/>
        <family val="3"/>
        <charset val="134"/>
      </rPr>
      <t>构成一个</t>
    </r>
    <r>
      <rPr>
        <sz val="11"/>
        <color theme="1"/>
        <rFont val="Calibri"/>
        <family val="2"/>
      </rPr>
      <t>M-lot</t>
    </r>
    <phoneticPr fontId="2" type="noConversion"/>
  </si>
  <si>
    <r>
      <rPr>
        <sz val="11"/>
        <color theme="1"/>
        <rFont val="宋体"/>
        <family val="3"/>
        <charset val="134"/>
      </rPr>
      <t>产品放置的容器成为</t>
    </r>
    <r>
      <rPr>
        <sz val="11"/>
        <color theme="1"/>
        <rFont val="Calibri"/>
        <family val="2"/>
      </rPr>
      <t>Magazine</t>
    </r>
    <r>
      <rPr>
        <sz val="11"/>
        <color theme="1"/>
        <rFont val="宋体"/>
        <family val="3"/>
        <charset val="134"/>
      </rPr>
      <t>，不同的产品有不同的</t>
    </r>
    <r>
      <rPr>
        <sz val="11"/>
        <color theme="1"/>
        <rFont val="Calibri"/>
        <family val="2"/>
      </rPr>
      <t>strip</t>
    </r>
    <r>
      <rPr>
        <sz val="11"/>
        <color theme="1"/>
        <rFont val="宋体"/>
        <family val="3"/>
        <charset val="134"/>
      </rPr>
      <t>，每个</t>
    </r>
    <r>
      <rPr>
        <sz val="11"/>
        <color theme="1"/>
        <rFont val="Calibri"/>
        <family val="2"/>
      </rPr>
      <t>strip</t>
    </r>
    <r>
      <rPr>
        <sz val="11"/>
        <color theme="1"/>
        <rFont val="宋体"/>
        <family val="3"/>
        <charset val="134"/>
      </rPr>
      <t>有多个</t>
    </r>
    <r>
      <rPr>
        <sz val="11"/>
        <color theme="1"/>
        <rFont val="Calibri"/>
        <family val="2"/>
      </rPr>
      <t>unit</t>
    </r>
    <r>
      <rPr>
        <sz val="11"/>
        <color theme="1"/>
        <rFont val="宋体"/>
        <family val="3"/>
        <charset val="134"/>
      </rPr>
      <t>，每个</t>
    </r>
    <r>
      <rPr>
        <sz val="11"/>
        <color theme="1"/>
        <rFont val="Calibri"/>
        <family val="2"/>
      </rPr>
      <t>magazine</t>
    </r>
    <r>
      <rPr>
        <sz val="11"/>
        <color theme="1"/>
        <rFont val="宋体"/>
        <family val="3"/>
        <charset val="134"/>
      </rPr>
      <t>可以放置多个</t>
    </r>
    <r>
      <rPr>
        <sz val="11"/>
        <color theme="1"/>
        <rFont val="Calibri"/>
        <family val="2"/>
      </rPr>
      <t>strip</t>
    </r>
    <phoneticPr fontId="2" type="noConversion"/>
  </si>
  <si>
    <r>
      <t>sub-lot</t>
    </r>
    <r>
      <rPr>
        <sz val="11"/>
        <color theme="1"/>
        <rFont val="宋体"/>
        <family val="3"/>
        <charset val="134"/>
      </rPr>
      <t>由四个</t>
    </r>
    <r>
      <rPr>
        <sz val="11"/>
        <color theme="1"/>
        <rFont val="Calibri"/>
        <family val="2"/>
      </rPr>
      <t>magazine</t>
    </r>
    <r>
      <rPr>
        <sz val="11"/>
        <color theme="1"/>
        <rFont val="宋体"/>
        <family val="3"/>
        <charset val="134"/>
      </rPr>
      <t>构成</t>
    </r>
    <phoneticPr fontId="2" type="noConversion"/>
  </si>
  <si>
    <r>
      <t>SDE</t>
    </r>
    <r>
      <rPr>
        <sz val="11"/>
        <color theme="1"/>
        <rFont val="宋体"/>
        <family val="3"/>
        <charset val="134"/>
      </rPr>
      <t>－</t>
    </r>
    <r>
      <rPr>
        <sz val="11"/>
        <color theme="1"/>
        <rFont val="Calibri"/>
        <family val="2"/>
      </rPr>
      <t>single die</t>
    </r>
    <phoneticPr fontId="2" type="noConversion"/>
  </si>
  <si>
    <r>
      <t>taping</t>
    </r>
    <r>
      <rPr>
        <sz val="11"/>
        <color theme="1"/>
        <rFont val="宋体"/>
        <family val="3"/>
        <charset val="134"/>
      </rPr>
      <t>－先在</t>
    </r>
    <r>
      <rPr>
        <sz val="11"/>
        <color theme="1"/>
        <rFont val="Calibri"/>
        <family val="2"/>
      </rPr>
      <t>wafer</t>
    </r>
    <r>
      <rPr>
        <sz val="11"/>
        <color theme="1"/>
        <rFont val="宋体"/>
        <family val="3"/>
        <charset val="134"/>
      </rPr>
      <t>表面上贴膜</t>
    </r>
    <phoneticPr fontId="2" type="noConversion"/>
  </si>
  <si>
    <r>
      <t>B/G</t>
    </r>
    <r>
      <rPr>
        <sz val="11"/>
        <color theme="1"/>
        <rFont val="宋体"/>
        <family val="3"/>
        <charset val="134"/>
      </rPr>
      <t>－打磨、抛光，打到订单指定的厚度要求</t>
    </r>
    <phoneticPr fontId="2" type="noConversion"/>
  </si>
  <si>
    <r>
      <t>D/S</t>
    </r>
    <r>
      <rPr>
        <sz val="11"/>
        <color theme="1"/>
        <rFont val="宋体"/>
        <family val="3"/>
        <charset val="134"/>
      </rPr>
      <t>－切割为</t>
    </r>
    <r>
      <rPr>
        <sz val="11"/>
        <color theme="1"/>
        <rFont val="Calibri"/>
        <family val="2"/>
      </rPr>
      <t>die</t>
    </r>
    <phoneticPr fontId="2" type="noConversion"/>
  </si>
  <si>
    <r>
      <rPr>
        <sz val="11"/>
        <color theme="1"/>
        <rFont val="宋体"/>
        <family val="3"/>
        <charset val="134"/>
      </rPr>
      <t>一个</t>
    </r>
    <r>
      <rPr>
        <sz val="11"/>
        <color theme="1"/>
        <rFont val="Calibri"/>
        <family val="2"/>
      </rPr>
      <t>SDE</t>
    </r>
    <r>
      <rPr>
        <sz val="11"/>
        <color theme="1"/>
        <rFont val="宋体"/>
        <family val="3"/>
        <charset val="134"/>
      </rPr>
      <t>的容量为</t>
    </r>
    <r>
      <rPr>
        <sz val="11"/>
        <color theme="1"/>
        <rFont val="Calibri"/>
        <family val="2"/>
      </rPr>
      <t>2G</t>
    </r>
    <phoneticPr fontId="2" type="noConversion"/>
  </si>
  <si>
    <r>
      <t>DA</t>
    </r>
    <r>
      <rPr>
        <sz val="11"/>
        <color theme="1"/>
        <rFont val="宋体"/>
        <family val="3"/>
        <charset val="134"/>
      </rPr>
      <t>－</t>
    </r>
    <r>
      <rPr>
        <sz val="11"/>
        <color theme="1"/>
        <rFont val="Calibri"/>
        <family val="2"/>
      </rPr>
      <t>die attach</t>
    </r>
    <r>
      <rPr>
        <sz val="11"/>
        <color theme="1"/>
        <rFont val="宋体"/>
        <family val="3"/>
        <charset val="134"/>
      </rPr>
      <t>，将</t>
    </r>
    <r>
      <rPr>
        <sz val="11"/>
        <color theme="1"/>
        <rFont val="Calibri"/>
        <family val="2"/>
      </rPr>
      <t>die</t>
    </r>
    <r>
      <rPr>
        <sz val="11"/>
        <color theme="1"/>
        <rFont val="宋体"/>
        <family val="3"/>
        <charset val="134"/>
      </rPr>
      <t>打入</t>
    </r>
    <r>
      <rPr>
        <sz val="11"/>
        <color theme="1"/>
        <rFont val="Calibri"/>
        <family val="2"/>
      </rPr>
      <t>unit</t>
    </r>
    <r>
      <rPr>
        <sz val="11"/>
        <color theme="1"/>
        <rFont val="宋体"/>
        <family val="3"/>
        <charset val="134"/>
      </rPr>
      <t>中</t>
    </r>
    <phoneticPr fontId="2" type="noConversion"/>
  </si>
  <si>
    <r>
      <t>MOLD</t>
    </r>
    <r>
      <rPr>
        <sz val="11"/>
        <color theme="1"/>
        <rFont val="宋体"/>
        <family val="3"/>
        <charset val="134"/>
      </rPr>
      <t>－塑封</t>
    </r>
    <phoneticPr fontId="2" type="noConversion"/>
  </si>
  <si>
    <r>
      <t>WB</t>
    </r>
    <r>
      <rPr>
        <sz val="11"/>
        <color theme="1"/>
        <rFont val="宋体"/>
        <family val="3"/>
        <charset val="134"/>
      </rPr>
      <t>－</t>
    </r>
    <r>
      <rPr>
        <sz val="11"/>
        <color theme="1"/>
        <rFont val="Calibri"/>
        <family val="2"/>
      </rPr>
      <t>wire bond</t>
    </r>
    <r>
      <rPr>
        <sz val="11"/>
        <color theme="1"/>
        <rFont val="宋体"/>
        <family val="3"/>
        <charset val="134"/>
      </rPr>
      <t>，将</t>
    </r>
    <r>
      <rPr>
        <sz val="11"/>
        <color theme="1"/>
        <rFont val="Calibri"/>
        <family val="2"/>
      </rPr>
      <t>unit</t>
    </r>
    <r>
      <rPr>
        <sz val="11"/>
        <color theme="1"/>
        <rFont val="宋体"/>
        <family val="3"/>
        <charset val="134"/>
      </rPr>
      <t>经线连接，将</t>
    </r>
    <r>
      <rPr>
        <sz val="11"/>
        <color theme="1"/>
        <rFont val="Calibri"/>
        <family val="2"/>
      </rPr>
      <t>die</t>
    </r>
    <r>
      <rPr>
        <sz val="11"/>
        <color theme="1"/>
        <rFont val="宋体"/>
        <family val="3"/>
        <charset val="134"/>
      </rPr>
      <t>与基板连线</t>
    </r>
    <phoneticPr fontId="2" type="noConversion"/>
  </si>
  <si>
    <r>
      <t>unit</t>
    </r>
    <r>
      <rPr>
        <sz val="11"/>
        <color theme="1"/>
        <rFont val="宋体"/>
        <family val="3"/>
        <charset val="134"/>
      </rPr>
      <t>也称为</t>
    </r>
    <r>
      <rPr>
        <sz val="11"/>
        <color theme="1"/>
        <rFont val="Calibri"/>
        <family val="2"/>
      </rPr>
      <t>sub-strip</t>
    </r>
    <phoneticPr fontId="2" type="noConversion"/>
  </si>
  <si>
    <r>
      <rPr>
        <sz val="11"/>
        <color theme="1"/>
        <rFont val="宋体"/>
        <family val="3"/>
        <charset val="134"/>
      </rPr>
      <t>单位都是</t>
    </r>
    <r>
      <rPr>
        <sz val="11"/>
        <color theme="1"/>
        <rFont val="Calibri"/>
        <family val="2"/>
      </rPr>
      <t>unit</t>
    </r>
    <r>
      <rPr>
        <sz val="11"/>
        <color theme="1"/>
        <rFont val="宋体"/>
        <family val="3"/>
        <charset val="134"/>
      </rPr>
      <t>，不是</t>
    </r>
    <r>
      <rPr>
        <sz val="11"/>
        <color theme="1"/>
        <rFont val="Calibri"/>
        <family val="2"/>
      </rPr>
      <t>die</t>
    </r>
    <phoneticPr fontId="2" type="noConversion"/>
  </si>
  <si>
    <t>1 magazine on 1 set machine</t>
    <phoneticPr fontId="2" type="noConversion"/>
  </si>
  <si>
    <t>尾批的处理时间与整批的处理时间正比与数量之比</t>
    <phoneticPr fontId="2" type="noConversion"/>
  </si>
  <si>
    <r>
      <rPr>
        <sz val="11"/>
        <color theme="1"/>
        <rFont val="宋体"/>
        <family val="3"/>
        <charset val="134"/>
      </rPr>
      <t>小于</t>
    </r>
    <r>
      <rPr>
        <sz val="11"/>
        <color theme="1"/>
        <rFont val="Calibri"/>
        <family val="2"/>
      </rPr>
      <t>500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die</t>
    </r>
    <r>
      <rPr>
        <sz val="11"/>
        <color theme="1"/>
        <rFont val="宋体"/>
        <family val="3"/>
        <charset val="134"/>
      </rPr>
      <t>的批次就不做批处理，累加到后面的批次中</t>
    </r>
    <phoneticPr fontId="2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</si>
</sst>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#,##0.0"/>
    <numFmt numFmtId="177" formatCode="_ * #,##0_ ;_ * \-#,##0_ ;_ * &quot;-&quot;??_ ;_ @_ "/>
  </numFmts>
  <fonts count="10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3" fillId="0" borderId="0" xfId="0" applyFont="1"/>
    <xf numFmtId="0" fontId="3" fillId="0" borderId="2" xfId="0" applyFont="1" applyBorder="1"/>
    <xf numFmtId="9" fontId="3" fillId="0" borderId="2" xfId="0" applyNumberFormat="1" applyFont="1" applyBorder="1"/>
    <xf numFmtId="0" fontId="4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3" fillId="0" borderId="0" xfId="0" applyFont="1" applyFill="1" applyAlignment="1">
      <alignment horizontal="left"/>
    </xf>
    <xf numFmtId="3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3" fillId="0" borderId="1" xfId="0" applyFont="1" applyFill="1" applyBorder="1" applyAlignment="1"/>
    <xf numFmtId="1" fontId="3" fillId="0" borderId="0" xfId="0" applyNumberFormat="1" applyFont="1" applyFill="1" applyAlignment="1">
      <alignment horizontal="left"/>
    </xf>
    <xf numFmtId="43" fontId="3" fillId="0" borderId="0" xfId="1" applyFont="1" applyFill="1" applyAlignment="1">
      <alignment horizontal="left"/>
    </xf>
    <xf numFmtId="177" fontId="3" fillId="0" borderId="0" xfId="1" applyNumberFormat="1" applyFont="1" applyFill="1" applyAlignment="1">
      <alignment horizontal="left"/>
    </xf>
    <xf numFmtId="3" fontId="3" fillId="2" borderId="0" xfId="0" applyNumberFormat="1" applyFont="1" applyFill="1" applyAlignment="1">
      <alignment horizontal="left"/>
    </xf>
    <xf numFmtId="176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  <xf numFmtId="0" fontId="3" fillId="4" borderId="0" xfId="0" applyFont="1" applyFill="1" applyAlignment="1">
      <alignment horizontal="left"/>
    </xf>
    <xf numFmtId="0" fontId="7" fillId="4" borderId="2" xfId="0" applyFont="1" applyFill="1" applyBorder="1"/>
    <xf numFmtId="0" fontId="7" fillId="0" borderId="0" xfId="0" applyFont="1"/>
    <xf numFmtId="49" fontId="3" fillId="0" borderId="2" xfId="0" applyNumberFormat="1" applyFont="1" applyBorder="1"/>
    <xf numFmtId="0" fontId="3" fillId="0" borderId="0" xfId="0" applyFont="1" applyFill="1" applyAlignment="1">
      <alignment horizontal="right"/>
    </xf>
    <xf numFmtId="43" fontId="3" fillId="0" borderId="0" xfId="1" applyFont="1" applyFill="1" applyAlignment="1">
      <alignment horizontal="right"/>
    </xf>
    <xf numFmtId="0" fontId="3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left"/>
    </xf>
    <xf numFmtId="177" fontId="3" fillId="0" borderId="2" xfId="1" applyNumberFormat="1" applyFont="1" applyFill="1" applyBorder="1" applyAlignment="1">
      <alignment horizontal="left"/>
    </xf>
    <xf numFmtId="43" fontId="3" fillId="0" borderId="2" xfId="1" applyFont="1" applyFill="1" applyBorder="1" applyAlignment="1">
      <alignment horizontal="left"/>
    </xf>
    <xf numFmtId="177" fontId="3" fillId="0" borderId="2" xfId="1" applyNumberFormat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center"/>
    </xf>
    <xf numFmtId="176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7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77" fontId="3" fillId="5" borderId="3" xfId="1" applyNumberFormat="1" applyFont="1" applyFill="1" applyBorder="1" applyAlignment="1">
      <alignment horizontal="center" vertical="center" wrapText="1"/>
    </xf>
    <xf numFmtId="177" fontId="3" fillId="5" borderId="4" xfId="1" applyNumberFormat="1" applyFont="1" applyFill="1" applyBorder="1" applyAlignment="1">
      <alignment horizontal="center" vertical="center" wrapText="1"/>
    </xf>
    <xf numFmtId="177" fontId="3" fillId="4" borderId="3" xfId="1" applyNumberFormat="1" applyFont="1" applyFill="1" applyBorder="1" applyAlignment="1">
      <alignment horizontal="center" vertical="center" wrapText="1"/>
    </xf>
    <xf numFmtId="177" fontId="3" fillId="4" borderId="4" xfId="1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/>
    </xf>
    <xf numFmtId="0" fontId="9" fillId="0" borderId="2" xfId="0" applyFont="1" applyBorder="1"/>
    <xf numFmtId="0" fontId="9" fillId="0" borderId="2" xfId="0" applyFont="1" applyFill="1" applyBorder="1" applyAlignment="1">
      <alignment horizontal="left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7</xdr:row>
      <xdr:rowOff>28575</xdr:rowOff>
    </xdr:from>
    <xdr:to>
      <xdr:col>3</xdr:col>
      <xdr:colOff>295275</xdr:colOff>
      <xdr:row>9</xdr:row>
      <xdr:rowOff>28576</xdr:rowOff>
    </xdr:to>
    <xdr:sp macro="" textlink="">
      <xdr:nvSpPr>
        <xdr:cNvPr id="5" name="Flowchart: Process 4"/>
        <xdr:cNvSpPr/>
      </xdr:nvSpPr>
      <xdr:spPr>
        <a:xfrm>
          <a:off x="1609725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Taping</a:t>
          </a:r>
          <a:endParaRPr lang="zh-CN" altLang="en-US" sz="1100"/>
        </a:p>
      </xdr:txBody>
    </xdr:sp>
    <xdr:clientData/>
  </xdr:twoCellAnchor>
  <xdr:twoCellAnchor>
    <xdr:from>
      <xdr:col>4</xdr:col>
      <xdr:colOff>95250</xdr:colOff>
      <xdr:row>7</xdr:row>
      <xdr:rowOff>28575</xdr:rowOff>
    </xdr:from>
    <xdr:to>
      <xdr:col>5</xdr:col>
      <xdr:colOff>152400</xdr:colOff>
      <xdr:row>9</xdr:row>
      <xdr:rowOff>28576</xdr:rowOff>
    </xdr:to>
    <xdr:sp macro="" textlink="">
      <xdr:nvSpPr>
        <xdr:cNvPr id="8" name="Flowchart: Process 7"/>
        <xdr:cNvSpPr/>
      </xdr:nvSpPr>
      <xdr:spPr>
        <a:xfrm>
          <a:off x="283845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  B/G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7</xdr:row>
      <xdr:rowOff>28575</xdr:rowOff>
    </xdr:from>
    <xdr:to>
      <xdr:col>7</xdr:col>
      <xdr:colOff>57150</xdr:colOff>
      <xdr:row>9</xdr:row>
      <xdr:rowOff>28576</xdr:rowOff>
    </xdr:to>
    <xdr:sp macro="" textlink="">
      <xdr:nvSpPr>
        <xdr:cNvPr id="9" name="Flowchart: Process 8"/>
        <xdr:cNvSpPr/>
      </xdr:nvSpPr>
      <xdr:spPr>
        <a:xfrm>
          <a:off x="41148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D/S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7</xdr:row>
      <xdr:rowOff>28575</xdr:rowOff>
    </xdr:from>
    <xdr:to>
      <xdr:col>9</xdr:col>
      <xdr:colOff>57150</xdr:colOff>
      <xdr:row>9</xdr:row>
      <xdr:rowOff>28576</xdr:rowOff>
    </xdr:to>
    <xdr:sp macro="" textlink="">
      <xdr:nvSpPr>
        <xdr:cNvPr id="10" name="Flowchart: Process 9"/>
        <xdr:cNvSpPr/>
      </xdr:nvSpPr>
      <xdr:spPr>
        <a:xfrm>
          <a:off x="54864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DA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7</xdr:row>
      <xdr:rowOff>28575</xdr:rowOff>
    </xdr:from>
    <xdr:to>
      <xdr:col>11</xdr:col>
      <xdr:colOff>57150</xdr:colOff>
      <xdr:row>9</xdr:row>
      <xdr:rowOff>28576</xdr:rowOff>
    </xdr:to>
    <xdr:sp macro="" textlink="">
      <xdr:nvSpPr>
        <xdr:cNvPr id="11" name="Flowchart: Process 10"/>
        <xdr:cNvSpPr/>
      </xdr:nvSpPr>
      <xdr:spPr>
        <a:xfrm>
          <a:off x="68580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WB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7</xdr:row>
      <xdr:rowOff>28575</xdr:rowOff>
    </xdr:from>
    <xdr:to>
      <xdr:col>13</xdr:col>
      <xdr:colOff>57150</xdr:colOff>
      <xdr:row>9</xdr:row>
      <xdr:rowOff>28576</xdr:rowOff>
    </xdr:to>
    <xdr:sp macro="" textlink="">
      <xdr:nvSpPr>
        <xdr:cNvPr id="12" name="Flowchart: Process 11"/>
        <xdr:cNvSpPr/>
      </xdr:nvSpPr>
      <xdr:spPr>
        <a:xfrm>
          <a:off x="8229600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MOLD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295275</xdr:colOff>
      <xdr:row>8</xdr:row>
      <xdr:rowOff>28576</xdr:rowOff>
    </xdr:from>
    <xdr:to>
      <xdr:col>4</xdr:col>
      <xdr:colOff>95250</xdr:colOff>
      <xdr:row>8</xdr:row>
      <xdr:rowOff>28576</xdr:rowOff>
    </xdr:to>
    <xdr:cxnSp macro="">
      <xdr:nvCxnSpPr>
        <xdr:cNvPr id="14" name="Straight Arrow Connector 13"/>
        <xdr:cNvCxnSpPr>
          <a:stCxn id="5" idx="3"/>
          <a:endCxn id="8" idx="1"/>
        </xdr:cNvCxnSpPr>
      </xdr:nvCxnSpPr>
      <xdr:spPr>
        <a:xfrm>
          <a:off x="2352675" y="1743076"/>
          <a:ext cx="485775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</xdr:row>
      <xdr:rowOff>28576</xdr:rowOff>
    </xdr:from>
    <xdr:to>
      <xdr:col>6</xdr:col>
      <xdr:colOff>0</xdr:colOff>
      <xdr:row>8</xdr:row>
      <xdr:rowOff>28576</xdr:rowOff>
    </xdr:to>
    <xdr:cxnSp macro="">
      <xdr:nvCxnSpPr>
        <xdr:cNvPr id="18" name="Straight Arrow Connector 17"/>
        <xdr:cNvCxnSpPr>
          <a:stCxn id="8" idx="3"/>
          <a:endCxn id="9" idx="1"/>
        </xdr:cNvCxnSpPr>
      </xdr:nvCxnSpPr>
      <xdr:spPr>
        <a:xfrm>
          <a:off x="3581400" y="1743076"/>
          <a:ext cx="5334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8</xdr:row>
      <xdr:rowOff>28576</xdr:rowOff>
    </xdr:from>
    <xdr:to>
      <xdr:col>8</xdr:col>
      <xdr:colOff>0</xdr:colOff>
      <xdr:row>8</xdr:row>
      <xdr:rowOff>28576</xdr:rowOff>
    </xdr:to>
    <xdr:cxnSp macro="">
      <xdr:nvCxnSpPr>
        <xdr:cNvPr id="21" name="Straight Arrow Connector 20"/>
        <xdr:cNvCxnSpPr>
          <a:stCxn id="9" idx="3"/>
          <a:endCxn id="10" idx="1"/>
        </xdr:cNvCxnSpPr>
      </xdr:nvCxnSpPr>
      <xdr:spPr>
        <a:xfrm>
          <a:off x="4857750" y="1743076"/>
          <a:ext cx="6286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8</xdr:row>
      <xdr:rowOff>28576</xdr:rowOff>
    </xdr:from>
    <xdr:to>
      <xdr:col>10</xdr:col>
      <xdr:colOff>0</xdr:colOff>
      <xdr:row>8</xdr:row>
      <xdr:rowOff>28576</xdr:rowOff>
    </xdr:to>
    <xdr:cxnSp macro="">
      <xdr:nvCxnSpPr>
        <xdr:cNvPr id="25" name="Straight Arrow Connector 24"/>
        <xdr:cNvCxnSpPr>
          <a:stCxn id="10" idx="3"/>
          <a:endCxn id="11" idx="1"/>
        </xdr:cNvCxnSpPr>
      </xdr:nvCxnSpPr>
      <xdr:spPr>
        <a:xfrm>
          <a:off x="6229350" y="1743076"/>
          <a:ext cx="6286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8</xdr:row>
      <xdr:rowOff>28576</xdr:rowOff>
    </xdr:from>
    <xdr:to>
      <xdr:col>12</xdr:col>
      <xdr:colOff>0</xdr:colOff>
      <xdr:row>8</xdr:row>
      <xdr:rowOff>28576</xdr:rowOff>
    </xdr:to>
    <xdr:cxnSp macro="">
      <xdr:nvCxnSpPr>
        <xdr:cNvPr id="30" name="Straight Arrow Connector 29"/>
        <xdr:cNvCxnSpPr>
          <a:stCxn id="11" idx="3"/>
          <a:endCxn id="12" idx="1"/>
        </xdr:cNvCxnSpPr>
      </xdr:nvCxnSpPr>
      <xdr:spPr>
        <a:xfrm>
          <a:off x="7600950" y="1743076"/>
          <a:ext cx="6286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7</xdr:row>
      <xdr:rowOff>28575</xdr:rowOff>
    </xdr:from>
    <xdr:to>
      <xdr:col>1</xdr:col>
      <xdr:colOff>352425</xdr:colOff>
      <xdr:row>9</xdr:row>
      <xdr:rowOff>28576</xdr:rowOff>
    </xdr:to>
    <xdr:sp macro="" textlink="">
      <xdr:nvSpPr>
        <xdr:cNvPr id="34" name="Flowchart: Process 33"/>
        <xdr:cNvSpPr/>
      </xdr:nvSpPr>
      <xdr:spPr>
        <a:xfrm>
          <a:off x="1666875" y="1571625"/>
          <a:ext cx="742950" cy="3429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KGD</a:t>
          </a:r>
          <a:endParaRPr lang="zh-CN" altLang="en-US" sz="1100"/>
        </a:p>
      </xdr:txBody>
    </xdr:sp>
    <xdr:clientData/>
  </xdr:twoCellAnchor>
  <xdr:twoCellAnchor>
    <xdr:from>
      <xdr:col>0</xdr:col>
      <xdr:colOff>304800</xdr:colOff>
      <xdr:row>12</xdr:row>
      <xdr:rowOff>76200</xdr:rowOff>
    </xdr:from>
    <xdr:to>
      <xdr:col>1</xdr:col>
      <xdr:colOff>361950</xdr:colOff>
      <xdr:row>14</xdr:row>
      <xdr:rowOff>76201</xdr:rowOff>
    </xdr:to>
    <xdr:sp macro="" textlink="">
      <xdr:nvSpPr>
        <xdr:cNvPr id="35" name="Flowchart: Process 34"/>
        <xdr:cNvSpPr/>
      </xdr:nvSpPr>
      <xdr:spPr>
        <a:xfrm>
          <a:off x="1676400" y="2886075"/>
          <a:ext cx="742950" cy="381001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SMT</a:t>
          </a:r>
          <a:endParaRPr lang="zh-CN" altLang="en-US" sz="1100"/>
        </a:p>
      </xdr:txBody>
    </xdr:sp>
    <xdr:clientData/>
  </xdr:twoCellAnchor>
  <xdr:twoCellAnchor>
    <xdr:from>
      <xdr:col>1</xdr:col>
      <xdr:colOff>361950</xdr:colOff>
      <xdr:row>8</xdr:row>
      <xdr:rowOff>28576</xdr:rowOff>
    </xdr:from>
    <xdr:to>
      <xdr:col>8</xdr:col>
      <xdr:colOff>0</xdr:colOff>
      <xdr:row>13</xdr:row>
      <xdr:rowOff>76201</xdr:rowOff>
    </xdr:to>
    <xdr:cxnSp macro="">
      <xdr:nvCxnSpPr>
        <xdr:cNvPr id="37" name="Elbow Connector 36"/>
        <xdr:cNvCxnSpPr>
          <a:stCxn id="35" idx="3"/>
          <a:endCxn id="10" idx="1"/>
        </xdr:cNvCxnSpPr>
      </xdr:nvCxnSpPr>
      <xdr:spPr>
        <a:xfrm flipV="1">
          <a:off x="2419350" y="2076451"/>
          <a:ext cx="4438650" cy="1000125"/>
        </a:xfrm>
        <a:prstGeom prst="bentConnector3">
          <a:avLst>
            <a:gd name="adj1" fmla="val 92918"/>
          </a:avLst>
        </a:prstGeom>
        <a:ln w="254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</xdr:row>
      <xdr:rowOff>142875</xdr:rowOff>
    </xdr:from>
    <xdr:to>
      <xdr:col>1</xdr:col>
      <xdr:colOff>514350</xdr:colOff>
      <xdr:row>15</xdr:row>
      <xdr:rowOff>0</xdr:rowOff>
    </xdr:to>
    <xdr:sp macro="" textlink="">
      <xdr:nvSpPr>
        <xdr:cNvPr id="40" name="Rectangle 39"/>
        <xdr:cNvSpPr/>
      </xdr:nvSpPr>
      <xdr:spPr>
        <a:xfrm>
          <a:off x="1390650" y="904875"/>
          <a:ext cx="1181100" cy="2333625"/>
        </a:xfrm>
        <a:prstGeom prst="rect">
          <a:avLst/>
        </a:prstGeom>
        <a:noFill/>
        <a:ln w="25400">
          <a:solidFill>
            <a:schemeClr val="bg1">
              <a:lumMod val="50000"/>
            </a:schemeClr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352425</xdr:colOff>
      <xdr:row>8</xdr:row>
      <xdr:rowOff>28576</xdr:rowOff>
    </xdr:from>
    <xdr:to>
      <xdr:col>2</xdr:col>
      <xdr:colOff>238125</xdr:colOff>
      <xdr:row>8</xdr:row>
      <xdr:rowOff>28576</xdr:rowOff>
    </xdr:to>
    <xdr:cxnSp macro="">
      <xdr:nvCxnSpPr>
        <xdr:cNvPr id="42" name="Straight Arrow Connector 41"/>
        <xdr:cNvCxnSpPr>
          <a:stCxn id="34" idx="3"/>
          <a:endCxn id="5" idx="1"/>
        </xdr:cNvCxnSpPr>
      </xdr:nvCxnSpPr>
      <xdr:spPr>
        <a:xfrm>
          <a:off x="2409825" y="1743076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538163</xdr:colOff>
      <xdr:row>5</xdr:row>
      <xdr:rowOff>47625</xdr:rowOff>
    </xdr:from>
    <xdr:to>
      <xdr:col>6</xdr:col>
      <xdr:colOff>476253</xdr:colOff>
      <xdr:row>7</xdr:row>
      <xdr:rowOff>4765</xdr:rowOff>
    </xdr:to>
    <xdr:sp macro="" textlink="">
      <xdr:nvSpPr>
        <xdr:cNvPr id="46" name="Left Brace 45"/>
        <xdr:cNvSpPr/>
      </xdr:nvSpPr>
      <xdr:spPr>
        <a:xfrm rot="5400000">
          <a:off x="4471988" y="57150"/>
          <a:ext cx="300040" cy="268129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352424</xdr:colOff>
      <xdr:row>5</xdr:row>
      <xdr:rowOff>38100</xdr:rowOff>
    </xdr:from>
    <xdr:to>
      <xdr:col>12</xdr:col>
      <xdr:colOff>438149</xdr:colOff>
      <xdr:row>7</xdr:row>
      <xdr:rowOff>4765</xdr:rowOff>
    </xdr:to>
    <xdr:sp macro="" textlink="">
      <xdr:nvSpPr>
        <xdr:cNvPr id="47" name="Left Brace 46"/>
        <xdr:cNvSpPr/>
      </xdr:nvSpPr>
      <xdr:spPr>
        <a:xfrm rot="5400000">
          <a:off x="8470104" y="-21430"/>
          <a:ext cx="309565" cy="282892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238125</xdr:colOff>
      <xdr:row>3</xdr:row>
      <xdr:rowOff>123825</xdr:rowOff>
    </xdr:from>
    <xdr:to>
      <xdr:col>5</xdr:col>
      <xdr:colOff>95250</xdr:colOff>
      <xdr:row>5</xdr:row>
      <xdr:rowOff>38100</xdr:rowOff>
    </xdr:to>
    <xdr:sp macro="" textlink="">
      <xdr:nvSpPr>
        <xdr:cNvPr id="48" name="TextBox 47"/>
        <xdr:cNvSpPr txBox="1"/>
      </xdr:nvSpPr>
      <xdr:spPr>
        <a:xfrm>
          <a:off x="4352925" y="981075"/>
          <a:ext cx="5429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Wafer</a:t>
          </a:r>
          <a:endParaRPr lang="zh-CN" altLang="en-US" sz="1100"/>
        </a:p>
      </xdr:txBody>
    </xdr:sp>
    <xdr:clientData/>
  </xdr:twoCellAnchor>
  <xdr:twoCellAnchor>
    <xdr:from>
      <xdr:col>10</xdr:col>
      <xdr:colOff>19050</xdr:colOff>
      <xdr:row>4</xdr:row>
      <xdr:rowOff>0</xdr:rowOff>
    </xdr:from>
    <xdr:to>
      <xdr:col>11</xdr:col>
      <xdr:colOff>95250</xdr:colOff>
      <xdr:row>5</xdr:row>
      <xdr:rowOff>104775</xdr:rowOff>
    </xdr:to>
    <xdr:sp macro="" textlink="">
      <xdr:nvSpPr>
        <xdr:cNvPr id="49" name="TextBox 48"/>
        <xdr:cNvSpPr txBox="1"/>
      </xdr:nvSpPr>
      <xdr:spPr>
        <a:xfrm>
          <a:off x="8248650" y="1047750"/>
          <a:ext cx="7620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Substrate</a:t>
          </a:r>
          <a:endParaRPr lang="zh-CN" altLang="en-US" sz="1100"/>
        </a:p>
      </xdr:txBody>
    </xdr:sp>
    <xdr:clientData/>
  </xdr:twoCellAnchor>
  <xdr:twoCellAnchor>
    <xdr:from>
      <xdr:col>2</xdr:col>
      <xdr:colOff>104775</xdr:colOff>
      <xdr:row>2</xdr:row>
      <xdr:rowOff>142875</xdr:rowOff>
    </xdr:from>
    <xdr:to>
      <xdr:col>13</xdr:col>
      <xdr:colOff>333375</xdr:colOff>
      <xdr:row>14</xdr:row>
      <xdr:rowOff>180975</xdr:rowOff>
    </xdr:to>
    <xdr:sp macro="" textlink="">
      <xdr:nvSpPr>
        <xdr:cNvPr id="50" name="Rectangle 49"/>
        <xdr:cNvSpPr/>
      </xdr:nvSpPr>
      <xdr:spPr>
        <a:xfrm>
          <a:off x="2847975" y="904875"/>
          <a:ext cx="7772400" cy="23241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0</xdr:col>
      <xdr:colOff>447675</xdr:colOff>
      <xdr:row>4</xdr:row>
      <xdr:rowOff>152401</xdr:rowOff>
    </xdr:from>
    <xdr:to>
      <xdr:col>1</xdr:col>
      <xdr:colOff>333375</xdr:colOff>
      <xdr:row>6</xdr:row>
      <xdr:rowOff>38101</xdr:rowOff>
    </xdr:to>
    <xdr:sp macro="" textlink="">
      <xdr:nvSpPr>
        <xdr:cNvPr id="23" name="Rectangular Callout 22"/>
        <xdr:cNvSpPr/>
      </xdr:nvSpPr>
      <xdr:spPr>
        <a:xfrm>
          <a:off x="1819275" y="1438276"/>
          <a:ext cx="571500" cy="266700"/>
        </a:xfrm>
        <a:prstGeom prst="wedgeRectCallout">
          <a:avLst>
            <a:gd name="adj1" fmla="val -15833"/>
            <a:gd name="adj2" fmla="val 116071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Wafer</a:t>
          </a:r>
          <a:endParaRPr lang="zh-CN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228599</xdr:colOff>
      <xdr:row>10</xdr:row>
      <xdr:rowOff>19050</xdr:rowOff>
    </xdr:from>
    <xdr:to>
      <xdr:col>1</xdr:col>
      <xdr:colOff>333374</xdr:colOff>
      <xdr:row>11</xdr:row>
      <xdr:rowOff>95250</xdr:rowOff>
    </xdr:to>
    <xdr:sp macro="" textlink="">
      <xdr:nvSpPr>
        <xdr:cNvPr id="24" name="Rectangular Callout 23"/>
        <xdr:cNvSpPr/>
      </xdr:nvSpPr>
      <xdr:spPr>
        <a:xfrm>
          <a:off x="1600199" y="2447925"/>
          <a:ext cx="790575" cy="266700"/>
        </a:xfrm>
        <a:prstGeom prst="wedgeRectCallout">
          <a:avLst>
            <a:gd name="adj1" fmla="val 10673"/>
            <a:gd name="adj2" fmla="val 112499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r>
            <a:rPr lang="en-US" altLang="zh-CN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Substrate</a:t>
          </a:r>
          <a:endParaRPr lang="zh-CN" altLang="zh-CN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1850/Documents/Capacity/Basic%20information/UPH%20database%201110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pt%20IE%20(ALL%20USERS-READ%20ONLY)%20Owner-%20XY%20Li\1--FILE%20MODIFIED%20IN%202011\01--Capacity%20Analysis\BP\2011\BP%20ASY%20Capacity%20-%20wk42.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t size"/>
      <sheetName val="Card type"/>
      <sheetName val="Tech"/>
      <sheetName val="CTRL"/>
      <sheetName val="Sheet3"/>
      <sheetName val="Sheet2"/>
      <sheetName val="Sheet4"/>
      <sheetName val="Sheet5"/>
      <sheetName val="Raw data"/>
      <sheetName val="UPH"/>
      <sheetName val="Sheet12"/>
      <sheetName val="CM FCST"/>
      <sheetName val="Summary"/>
      <sheetName val="Loading"/>
      <sheetName val="Capa."/>
      <sheetName val="EQ"/>
      <sheetName val="Tool"/>
      <sheetName val="UPH matrix"/>
      <sheetName val="Mold"/>
      <sheetName val="Sheet13"/>
      <sheetName val="PKG saw"/>
      <sheetName val="Sheet1"/>
    </sheetNames>
    <sheetDataSet>
      <sheetData sheetId="0">
        <row r="2">
          <cell r="C2" t="str">
            <v>11X15</v>
          </cell>
          <cell r="D2">
            <v>0</v>
          </cell>
          <cell r="E2">
            <v>80</v>
          </cell>
        </row>
        <row r="3">
          <cell r="C3" t="str">
            <v>11X15</v>
          </cell>
          <cell r="D3">
            <v>0</v>
          </cell>
          <cell r="E3">
            <v>60</v>
          </cell>
        </row>
        <row r="4">
          <cell r="C4" t="str">
            <v>12.5X15.2</v>
          </cell>
          <cell r="D4">
            <v>0</v>
          </cell>
          <cell r="E4">
            <v>70</v>
          </cell>
        </row>
        <row r="5">
          <cell r="C5" t="str">
            <v>20.95x13.5</v>
          </cell>
          <cell r="D5" t="str">
            <v>32X24</v>
          </cell>
          <cell r="E5">
            <v>48</v>
          </cell>
        </row>
        <row r="6">
          <cell r="C6" t="str">
            <v>20.95x9.5</v>
          </cell>
          <cell r="D6" t="str">
            <v>32X24</v>
          </cell>
          <cell r="E6">
            <v>66</v>
          </cell>
        </row>
        <row r="7">
          <cell r="C7" t="str">
            <v>21.35X10.1</v>
          </cell>
          <cell r="D7" t="str">
            <v>32X24</v>
          </cell>
          <cell r="E7">
            <v>66</v>
          </cell>
        </row>
        <row r="8">
          <cell r="C8" t="str">
            <v>21.35x13.98</v>
          </cell>
          <cell r="D8" t="str">
            <v>32X24</v>
          </cell>
          <cell r="E8">
            <v>48</v>
          </cell>
        </row>
        <row r="9">
          <cell r="C9" t="str">
            <v>21.55x22.5</v>
          </cell>
          <cell r="D9" t="str">
            <v>32X24</v>
          </cell>
          <cell r="E9">
            <v>30</v>
          </cell>
        </row>
        <row r="10">
          <cell r="C10" t="str">
            <v>15X10</v>
          </cell>
          <cell r="D10" t="str">
            <v>20X31</v>
          </cell>
          <cell r="E10">
            <v>88</v>
          </cell>
        </row>
        <row r="11">
          <cell r="C11" t="str">
            <v>15X18</v>
          </cell>
          <cell r="D11" t="str">
            <v>20X31</v>
          </cell>
          <cell r="E11">
            <v>48</v>
          </cell>
        </row>
        <row r="12">
          <cell r="C12" t="str">
            <v>15X22</v>
          </cell>
          <cell r="D12" t="str">
            <v>20X31</v>
          </cell>
          <cell r="E12">
            <v>40</v>
          </cell>
        </row>
        <row r="13">
          <cell r="C13" t="str">
            <v>15.8X22.5</v>
          </cell>
          <cell r="D13" t="str">
            <v>20X31</v>
          </cell>
          <cell r="E13">
            <v>40</v>
          </cell>
        </row>
        <row r="14">
          <cell r="C14" t="str">
            <v>15X10</v>
          </cell>
          <cell r="D14" t="str">
            <v>30.95*21.95</v>
          </cell>
          <cell r="E14">
            <v>88</v>
          </cell>
        </row>
        <row r="15">
          <cell r="C15" t="str">
            <v>11.5X13</v>
          </cell>
          <cell r="D15">
            <v>0</v>
          </cell>
          <cell r="E15">
            <v>80</v>
          </cell>
        </row>
        <row r="16">
          <cell r="C16" t="str">
            <v>12x16</v>
          </cell>
          <cell r="D16">
            <v>0</v>
          </cell>
          <cell r="E16">
            <v>72</v>
          </cell>
        </row>
        <row r="17">
          <cell r="C17" t="str">
            <v>12X18</v>
          </cell>
          <cell r="D17">
            <v>0</v>
          </cell>
          <cell r="E17">
            <v>60</v>
          </cell>
        </row>
        <row r="18">
          <cell r="C18" t="str">
            <v>14X18</v>
          </cell>
          <cell r="D18">
            <v>0</v>
          </cell>
          <cell r="E18">
            <v>48</v>
          </cell>
        </row>
        <row r="19">
          <cell r="C19" t="str">
            <v>11x14</v>
          </cell>
          <cell r="D19">
            <v>0</v>
          </cell>
          <cell r="E19">
            <v>72</v>
          </cell>
        </row>
        <row r="20">
          <cell r="C20" t="str">
            <v>16x20</v>
          </cell>
          <cell r="D20">
            <v>0</v>
          </cell>
          <cell r="E20">
            <v>40</v>
          </cell>
        </row>
      </sheetData>
      <sheetData sheetId="1"/>
      <sheetData sheetId="2">
        <row r="2">
          <cell r="B2" t="str">
            <v>P3065KND1XB3</v>
          </cell>
          <cell r="C2" t="str">
            <v>1Xnm 64Gb D3</v>
          </cell>
          <cell r="D2">
            <v>0</v>
          </cell>
          <cell r="E2">
            <v>448</v>
          </cell>
        </row>
        <row r="3">
          <cell r="B3" t="str">
            <v>P3065KEA1XB3</v>
          </cell>
          <cell r="C3" t="str">
            <v>1Xnm 64Gb D2</v>
          </cell>
          <cell r="D3">
            <v>0</v>
          </cell>
          <cell r="E3">
            <v>450</v>
          </cell>
        </row>
        <row r="4">
          <cell r="B4" t="str">
            <v>P3131KND1XB3</v>
          </cell>
          <cell r="C4" t="str">
            <v>1Xnm 128Gb D3</v>
          </cell>
          <cell r="D4">
            <v>0</v>
          </cell>
          <cell r="E4">
            <v>256</v>
          </cell>
        </row>
        <row r="5">
          <cell r="B5" t="str">
            <v>P3016KMA24B3</v>
          </cell>
          <cell r="C5" t="str">
            <v>24nm 16Gb D2</v>
          </cell>
          <cell r="D5" t="str">
            <v>5.488x9.196</v>
          </cell>
          <cell r="E5">
            <v>900</v>
          </cell>
        </row>
        <row r="6">
          <cell r="B6" t="str">
            <v>P3032KMA24B3</v>
          </cell>
          <cell r="C6" t="str">
            <v>24nm 32Gb D2</v>
          </cell>
          <cell r="D6" t="str">
            <v>8.281X10.408</v>
          </cell>
          <cell r="E6">
            <v>556</v>
          </cell>
        </row>
        <row r="7">
          <cell r="B7" t="str">
            <v>P3032KED24B3</v>
          </cell>
          <cell r="C7" t="str">
            <v>24nm 32Gb EX3</v>
          </cell>
          <cell r="D7" t="str">
            <v>7.34x9.78</v>
          </cell>
          <cell r="E7">
            <v>620</v>
          </cell>
        </row>
        <row r="8">
          <cell r="B8" t="str">
            <v>P3065KMA24B3</v>
          </cell>
          <cell r="C8" t="str">
            <v>24nm 64Gb D2A</v>
          </cell>
          <cell r="D8" t="str">
            <v>15.729x10.027</v>
          </cell>
          <cell r="E8">
            <v>270</v>
          </cell>
        </row>
        <row r="9">
          <cell r="B9" t="str">
            <v>P3065KMH24B3</v>
          </cell>
          <cell r="C9" t="str">
            <v>24nm 64Gb D2H</v>
          </cell>
          <cell r="D9" t="str">
            <v>9.573x15.741</v>
          </cell>
          <cell r="E9">
            <v>260</v>
          </cell>
        </row>
        <row r="10">
          <cell r="B10" t="str">
            <v>P3065KND24B3</v>
          </cell>
          <cell r="C10" t="str">
            <v>24nm 64Gb D3</v>
          </cell>
          <cell r="D10" t="str">
            <v>9.440X12.590</v>
          </cell>
          <cell r="E10">
            <v>310</v>
          </cell>
        </row>
        <row r="11">
          <cell r="B11" t="str">
            <v>P3065KED24B3</v>
          </cell>
          <cell r="C11" t="str">
            <v>24nm 64Gb EX3</v>
          </cell>
          <cell r="D11" t="str">
            <v>9.440X12.590</v>
          </cell>
          <cell r="E11">
            <v>340</v>
          </cell>
        </row>
        <row r="12">
          <cell r="B12" t="str">
            <v>P3016KMA32B3</v>
          </cell>
          <cell r="C12" t="str">
            <v>32nm 16Gb D2</v>
          </cell>
          <cell r="D12" t="str">
            <v>11.045x7.826</v>
          </cell>
          <cell r="E12">
            <v>600</v>
          </cell>
        </row>
        <row r="13">
          <cell r="B13" t="str">
            <v>P3016KED32B3</v>
          </cell>
          <cell r="C13" t="str">
            <v>32nm 16Gb EX3</v>
          </cell>
          <cell r="D13" t="str">
            <v>9.0X7.057</v>
          </cell>
          <cell r="E13">
            <v>840</v>
          </cell>
        </row>
        <row r="14">
          <cell r="B14" t="str">
            <v>P3032KMA32B3</v>
          </cell>
          <cell r="C14" t="str">
            <v>32nm 32Gb D2</v>
          </cell>
          <cell r="D14" t="str">
            <v>12.960x10.777</v>
          </cell>
          <cell r="E14">
            <v>360</v>
          </cell>
        </row>
        <row r="15">
          <cell r="B15" t="str">
            <v>P3032KMD32B3</v>
          </cell>
          <cell r="C15" t="str">
            <v>32nm 32Gb D3</v>
          </cell>
          <cell r="D15" t="str">
            <v>12.247X9.215</v>
          </cell>
          <cell r="E15">
            <v>480</v>
          </cell>
        </row>
        <row r="16">
          <cell r="B16" t="str">
            <v>P3032KSD32B3</v>
          </cell>
          <cell r="C16" t="str">
            <v>32nm 32Gb D3</v>
          </cell>
          <cell r="D16" t="str">
            <v>12.247X9.215</v>
          </cell>
          <cell r="E16">
            <v>460</v>
          </cell>
        </row>
        <row r="17">
          <cell r="B17" t="str">
            <v>P3032KED32B3</v>
          </cell>
          <cell r="C17" t="str">
            <v>32nm 32Gb EX3</v>
          </cell>
          <cell r="D17" t="str">
            <v>12.218X9.0</v>
          </cell>
          <cell r="E17">
            <v>480</v>
          </cell>
        </row>
        <row r="18">
          <cell r="B18" t="str">
            <v>P3065KED32B3</v>
          </cell>
          <cell r="C18" t="str">
            <v>32nm 64Gb EX3</v>
          </cell>
          <cell r="D18" t="str">
            <v>10.970x17.700</v>
          </cell>
          <cell r="E18">
            <v>240</v>
          </cell>
        </row>
        <row r="19">
          <cell r="B19" t="str">
            <v>P3008KMA32B3</v>
          </cell>
          <cell r="C19" t="str">
            <v>32nm 8Gb D2</v>
          </cell>
          <cell r="D19" t="str">
            <v>8.33x5.55</v>
          </cell>
          <cell r="E19">
            <v>1200</v>
          </cell>
        </row>
        <row r="20">
          <cell r="B20" t="str">
            <v>P3016KMA43B3</v>
          </cell>
          <cell r="C20" t="str">
            <v>43nm 16Gb D2</v>
          </cell>
          <cell r="D20" t="str">
            <v>12.960x9.280</v>
          </cell>
          <cell r="E20">
            <v>440</v>
          </cell>
        </row>
        <row r="21">
          <cell r="B21" t="str">
            <v>P3016KMD43B3</v>
          </cell>
          <cell r="C21" t="str">
            <v>43nm 16Gb D3</v>
          </cell>
          <cell r="D21" t="str">
            <v>12.910x7.783</v>
          </cell>
          <cell r="E21">
            <v>530</v>
          </cell>
        </row>
        <row r="22">
          <cell r="B22" t="str">
            <v>P3032KMA43B3</v>
          </cell>
          <cell r="C22" t="str">
            <v>43nm 32Gb D2</v>
          </cell>
          <cell r="D22" t="str">
            <v>16.140x12.960</v>
          </cell>
          <cell r="E22">
            <v>230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A3" t="str">
            <v>BGA_12X18_2_P3065KMA24B3_NA</v>
          </cell>
        </row>
        <row r="4">
          <cell r="A4" t="str">
            <v>BGA_12X18_4_P3065KMA24B3_NA</v>
          </cell>
        </row>
        <row r="5">
          <cell r="A5" t="str">
            <v>BGA_14X18_4_P3065KED32B3_NA</v>
          </cell>
        </row>
        <row r="6">
          <cell r="A6" t="str">
            <v>BGA_14X18_8_P3032KMA32B3_NA</v>
          </cell>
        </row>
        <row r="7">
          <cell r="A7" t="str">
            <v>LGA_12X18_8_P3032KMA32B3_NA</v>
          </cell>
        </row>
        <row r="8">
          <cell r="A8" t="str">
            <v>LGA_14X18_2_P3032KMA32B3_NA</v>
          </cell>
        </row>
        <row r="9">
          <cell r="A9" t="str">
            <v>LGA_14X18_2_P3065KMA24B3_NA</v>
          </cell>
        </row>
        <row r="10">
          <cell r="A10" t="str">
            <v>LGA_14X18_2_P3065KMH24B3_NA</v>
          </cell>
        </row>
        <row r="11">
          <cell r="A11" t="str">
            <v>LGA_14X18_4_P3032KMA32B3_NA</v>
          </cell>
        </row>
        <row r="12">
          <cell r="A12" t="str">
            <v>LGA_14X18_4_P3065KMA24B3_NA</v>
          </cell>
        </row>
        <row r="13">
          <cell r="A13" t="str">
            <v>LGA_14X18_4_P3065KMH24B3_NA</v>
          </cell>
        </row>
        <row r="14">
          <cell r="A14" t="str">
            <v>LGA_14X18_8_P3065KED24B3_NA</v>
          </cell>
        </row>
        <row r="15">
          <cell r="A15" t="str">
            <v>LGA_14X18_8_P3065KMA24B3_NA</v>
          </cell>
        </row>
        <row r="16">
          <cell r="A16" t="str">
            <v>MEMORY DEVICE_11X14_1_P3032KMA24B3_NA</v>
          </cell>
        </row>
        <row r="17">
          <cell r="A17" t="str">
            <v>MEMORY DEVICE_11X14_2_P3032KMA32B3_NA</v>
          </cell>
        </row>
        <row r="18">
          <cell r="A18" t="str">
            <v>MEMORY DEVICE_11X14_2_P3032KMA24B3_NA</v>
          </cell>
        </row>
        <row r="19">
          <cell r="A19" t="str">
            <v>MEMORY DEVICE_11X14_4_P3032KMA24B3_NA</v>
          </cell>
        </row>
        <row r="20">
          <cell r="A20" t="str">
            <v>MEMORY DEVICE_11X14_4_P3032KMA32B3_NA</v>
          </cell>
        </row>
        <row r="21">
          <cell r="A21" t="str">
            <v>MEMORY DEVICE_14X18_2_P3065KMH24B3_NA</v>
          </cell>
        </row>
        <row r="22">
          <cell r="A22" t="str">
            <v>MEMORY DEVICE_14X18_2_P3032KMA24B3_NA</v>
          </cell>
        </row>
        <row r="23">
          <cell r="A23" t="str">
            <v>MEMORY DEVICE_14X18_4_P3065KMH24B3_NA</v>
          </cell>
        </row>
        <row r="24">
          <cell r="A24" t="str">
            <v>MEMORY DEVICE_14X18_4_P3032KMA32B3_NA</v>
          </cell>
        </row>
        <row r="25">
          <cell r="A25" t="str">
            <v>MEMORY DEVICE_14X18_8_P3065KMH24B3_NA</v>
          </cell>
        </row>
        <row r="26">
          <cell r="A26" t="str">
            <v>MEMORY DEVICE_14X18_8_P3032KMA32B3_NA</v>
          </cell>
        </row>
        <row r="27">
          <cell r="A27" t="str">
            <v>INAND_11.5X13_1_P3016KMA32B3_PHNXX2UX3P09B</v>
          </cell>
        </row>
        <row r="28">
          <cell r="A28" t="str">
            <v>INAND_11.5X13_1_P3016KED32B3_PHNXX2UX3P09B</v>
          </cell>
        </row>
        <row r="29">
          <cell r="A29" t="str">
            <v>INAND_11.5X13_1_P3016KMA24B3_PHNXX2MH3P06A</v>
          </cell>
        </row>
        <row r="30">
          <cell r="A30" t="str">
            <v>INAND_11.5X13_1_P3032KMA24B3_PHNXX2MH3P06A</v>
          </cell>
        </row>
        <row r="31">
          <cell r="A31" t="str">
            <v>INAND_11.5X13_1_P3032KED24B3_SEALX1MX3P06A</v>
          </cell>
        </row>
        <row r="32">
          <cell r="A32" t="str">
            <v>INAND_11.5X13_1_P3065KND1XB3_SEALX1MX3P06A</v>
          </cell>
        </row>
        <row r="33">
          <cell r="A33" t="str">
            <v>INAND_11.5X13_2_P3032KMA24B3_PHNXX2MH3P06A</v>
          </cell>
        </row>
        <row r="34">
          <cell r="A34" t="str">
            <v>INAND_11.5X13_2_P3032KED24B3_SEALX1MX3P06A</v>
          </cell>
        </row>
        <row r="35">
          <cell r="A35" t="str">
            <v>INAND_12X16_1_P3065KMA24B3_PHNXX2MH3P06A</v>
          </cell>
        </row>
        <row r="36">
          <cell r="A36" t="str">
            <v>INAND_12X16_1_P3065KMH24B3_PHNXX2MH3P06A</v>
          </cell>
        </row>
        <row r="37">
          <cell r="A37" t="str">
            <v>INAND_12X16_1_P3032KMA32B3_CMBOS4ML3P09A</v>
          </cell>
        </row>
        <row r="38">
          <cell r="A38" t="str">
            <v>INAND_12X16_1_P3032KMA32B3_PHNXX2UX3P09B</v>
          </cell>
        </row>
        <row r="39">
          <cell r="A39" t="str">
            <v>INAND_12X16_1_P3032KMD32B3_PHNXX2UX3P09B</v>
          </cell>
        </row>
        <row r="40">
          <cell r="A40" t="str">
            <v>INAND_12X16_1_P3032KED32B3_PHNXX2UX3P09A</v>
          </cell>
        </row>
        <row r="41">
          <cell r="A41" t="str">
            <v>INAND_12X16_1_P3032KED32B3_PHNXX2UX3P09B</v>
          </cell>
        </row>
        <row r="42">
          <cell r="A42" t="str">
            <v>INAND_12X16_1_P3065KEA1XB3_SEALX1MX3P06A</v>
          </cell>
        </row>
        <row r="43">
          <cell r="A43" t="str">
            <v>INAND_12X16_2_P3065KMH24B3_PHNXX2MH3P06A</v>
          </cell>
        </row>
        <row r="44">
          <cell r="A44" t="str">
            <v>INAND_12X16_2_P3065KMA24B3_PHNXX2MH3P06A</v>
          </cell>
        </row>
        <row r="45">
          <cell r="A45" t="str">
            <v>INAND_12X16_2_P3065KED24B3_SEALX1MX3P06A</v>
          </cell>
        </row>
        <row r="46">
          <cell r="A46" t="str">
            <v>INAND_12X16_2_P3032KMA32B3_CMBOS4ML3P09A</v>
          </cell>
        </row>
        <row r="47">
          <cell r="A47" t="str">
            <v>INAND_12X16_2_P3032KMA32B3_PHNXX2UX3P09B</v>
          </cell>
        </row>
        <row r="48">
          <cell r="A48" t="str">
            <v>INAND_12X16_2_P3032KED32B3_PHNXX2UX3P09B</v>
          </cell>
        </row>
        <row r="49">
          <cell r="A49" t="str">
            <v>INAND_12X16_2_P3065KEA1XB3_SEALX1MX3P06A</v>
          </cell>
        </row>
        <row r="50">
          <cell r="A50" t="str">
            <v>INAND_12X16_4_P3065KMH24B3_PHNXX2MH3P06A</v>
          </cell>
        </row>
        <row r="51">
          <cell r="A51" t="str">
            <v>INAND_12X16_4_P3065KMA24B3_PHNXX2MH3P06A</v>
          </cell>
        </row>
        <row r="52">
          <cell r="A52" t="str">
            <v>INAND_12X16_4_P3065KED24B3_SEALX1MX3P06A</v>
          </cell>
        </row>
        <row r="53">
          <cell r="A53" t="str">
            <v>INAND_12X16_4_P3032KMA32B3_CMBOS4ML3P09A</v>
          </cell>
        </row>
        <row r="54">
          <cell r="A54" t="str">
            <v>INAND_12X16_4_P3032KMA32B3_PHNXX2UX3P09A</v>
          </cell>
        </row>
        <row r="55">
          <cell r="A55" t="str">
            <v>INAND_12X16_4_P3032KMA32B3_PHNXX2UX3P09B</v>
          </cell>
        </row>
        <row r="56">
          <cell r="A56" t="str">
            <v>INAND_12X16_4_P3032KED32B3_PHNXX2UX3P09A</v>
          </cell>
        </row>
        <row r="57">
          <cell r="A57" t="str">
            <v>INAND_12X16_4_P3032KED32B3_PHNXX2UX3P09B</v>
          </cell>
        </row>
        <row r="58">
          <cell r="A58" t="str">
            <v>INAND_12X16_4_P3065KND1XB3_SEALX1MX3P06A</v>
          </cell>
        </row>
        <row r="59">
          <cell r="A59" t="str">
            <v>INAND_12X16_4_P3065KEA1XB3_SEALX1MX3P06A</v>
          </cell>
        </row>
        <row r="60">
          <cell r="A60" t="str">
            <v>INAND_12X16_8_P3065KMH24B3_PHNXX2MH3P06A</v>
          </cell>
        </row>
        <row r="61">
          <cell r="A61" t="str">
            <v>INAND_12X16_8_P3065KMA24B3_PHNXX2MH3P06A</v>
          </cell>
        </row>
        <row r="62">
          <cell r="A62" t="str">
            <v>INAND_12X16_8_P3065KED24B3_SEALX1MX3P06A</v>
          </cell>
        </row>
        <row r="63">
          <cell r="A63" t="str">
            <v>INAND_12X16_8_P3032KED32B3_PHNXX2UX3P09B</v>
          </cell>
        </row>
        <row r="64">
          <cell r="A64" t="str">
            <v>INAND_12X16_8_P3065KND1XB3_SEALX1MX3P06A</v>
          </cell>
        </row>
        <row r="65">
          <cell r="A65" t="str">
            <v>INAND_12X16_8_P3065KEA1XB3_SEALX1MX3P06A</v>
          </cell>
        </row>
        <row r="66">
          <cell r="A66" t="str">
            <v>INAND_12X18_8_P3032KMA32B3_PHNXX2UX3P09B</v>
          </cell>
        </row>
        <row r="67">
          <cell r="A67" t="str">
            <v>INAND_14X18_1_P3131KND1XB3_SEALX1MX3P06A</v>
          </cell>
        </row>
        <row r="68">
          <cell r="A68" t="str">
            <v>INAND_14X18_2_P3131KND1XB3_SEALX1MX3P06A</v>
          </cell>
        </row>
        <row r="69">
          <cell r="A69" t="str">
            <v>INAND_14X18_4_P3131KND1XB3_SEALX1MX3P06A</v>
          </cell>
        </row>
        <row r="70">
          <cell r="A70" t="str">
            <v>INAND_14X18_4_P3032KMA43B3_CMBOS4ML3P09A</v>
          </cell>
        </row>
        <row r="71">
          <cell r="A71" t="str">
            <v>INAND_14X18_8_P3032KMA32B3_CMBOS4ML3P09A</v>
          </cell>
        </row>
        <row r="72">
          <cell r="A72" t="str">
            <v>INAND_14X18_8_P3032KED32B3_PHNXX2UX3P09B</v>
          </cell>
        </row>
        <row r="73">
          <cell r="A73" t="str">
            <v>INAND_16X20_8_P3065KED32B3_PHNXX2UX3P09B</v>
          </cell>
        </row>
        <row r="74">
          <cell r="A74" t="str">
            <v>MCP_11.5X13_1_P3032KED24B3_SEALX1MX3P06A_54-07-04196</v>
          </cell>
        </row>
        <row r="75">
          <cell r="A75" t="str">
            <v>MCP_11.5X13_1_P3032KMA24B3_PHNXX2MH3P06A_54-07-03915</v>
          </cell>
        </row>
        <row r="76">
          <cell r="A76" t="str">
            <v>MCP_11.5X13_1_P3032KMA24B3_PHNXX2MH3P06A_54-07-03914</v>
          </cell>
        </row>
        <row r="77">
          <cell r="A77" t="str">
            <v>MCP_11.5X13_1_P3032KMA24B3_PHNXX2MH3P06A_54-07-04048</v>
          </cell>
        </row>
        <row r="78">
          <cell r="A78" t="str">
            <v>MCP_11.5X13_2_P3032KMA24B3_PHNXX2MH3P06A_54-07-03917</v>
          </cell>
        </row>
        <row r="79">
          <cell r="A79" t="str">
            <v>MCP_11.5X13_2_P3032KMA24B3_PHNXX2MH3P06A_54-07-03916</v>
          </cell>
        </row>
        <row r="80">
          <cell r="A80" t="str">
            <v>MCP_11.5X13_2_P3032KMA24B3_PHNXX2MH3P06A_54-07-04049</v>
          </cell>
        </row>
        <row r="81">
          <cell r="A81" t="str">
            <v>MCP_12X16_1_P3016KED32B3_PHNXX2UX3P09B_54-07-03907</v>
          </cell>
        </row>
        <row r="82">
          <cell r="A82" t="str">
            <v>MCP_12X16_1_P3032KED32B3_PHNXX2UX3P09B_54-07-03909</v>
          </cell>
        </row>
        <row r="83">
          <cell r="A83" t="str">
            <v>MCP_12X16_1_P3032KED32B3_PHNXX2UX3P09B_54-07-03908</v>
          </cell>
        </row>
        <row r="84">
          <cell r="A84" t="str">
            <v>MCP_12X16_1_P3065KMH24B3_PHNXX2MH3P06A_54-07-03937</v>
          </cell>
        </row>
        <row r="85">
          <cell r="A85" t="str">
            <v>MCP_12X16_1_P3065KMH24B3_PHNXX2MH3P06A_54-07-03910</v>
          </cell>
        </row>
        <row r="86">
          <cell r="A86" t="str">
            <v>MCP_12X16_2_P3065KMH24B3_PHNXX2MH3P06A_54-07-03912</v>
          </cell>
        </row>
        <row r="87">
          <cell r="A87" t="str">
            <v>MCP_12X16_2_P3065KMH24B3_PHNXX2MH3P06A_54-07-03918</v>
          </cell>
        </row>
        <row r="88">
          <cell r="A88" t="str">
            <v>MCP_12X16_2_P3065KMH24B3_PHNXX2MH3P06A_54-07-03938</v>
          </cell>
        </row>
        <row r="89">
          <cell r="A89" t="str">
            <v>MCP_12X16_4_P3065KMH24B3_PHNXX2MH3P06A_54-07-03939</v>
          </cell>
        </row>
        <row r="90">
          <cell r="A90" t="str">
            <v>ISSD_16X20_1_P3032KMA32B3_MTERX5MX3P09C</v>
          </cell>
        </row>
        <row r="91">
          <cell r="A91" t="str">
            <v>ISSD_16X20_1_P3065KMA24B3_MTERX6MX3P06A</v>
          </cell>
        </row>
        <row r="92">
          <cell r="A92" t="str">
            <v>ISSD_16X20_2_P3032KMA32B3_MTERX5MX3P09C</v>
          </cell>
        </row>
        <row r="93">
          <cell r="A93" t="str">
            <v>ISSD_16X20_2_P3065KMA24B3_MTERX6MX3P06A</v>
          </cell>
        </row>
        <row r="94">
          <cell r="A94" t="str">
            <v>ISSD_16X20_4_P3032KMA32B3_MTERX5MX3P09C</v>
          </cell>
        </row>
        <row r="95">
          <cell r="A95" t="str">
            <v>ISSD_16X20_4_P3065KMA24B3_MTERX6MX3P06A</v>
          </cell>
        </row>
        <row r="96">
          <cell r="A96" t="str">
            <v>ISSD_16X20_8_P3032KMA32B3_MTERX5MX3P09C</v>
          </cell>
        </row>
        <row r="97">
          <cell r="A97" t="str">
            <v>ISSD_16X20_8_P3065KMA24B3_MTERX6MX3P06A</v>
          </cell>
        </row>
        <row r="98">
          <cell r="A98" t="str">
            <v>ISSD_16X20_16_P3032KMA32B3_MTERX5MX3P09C</v>
          </cell>
        </row>
        <row r="99">
          <cell r="A99" t="str">
            <v>ISSD_16X20_16_P3065KMA24B3_MTERX6MX3P06A</v>
          </cell>
        </row>
        <row r="100">
          <cell r="A100" t="str">
            <v>MICROSD_11X15_1_P3008KMA32B3_PHNXX1UX3P09A</v>
          </cell>
        </row>
        <row r="101">
          <cell r="A101" t="str">
            <v>MICROSD_11X15_1_P3016KMA32B3_PHNXX1UX3P09A</v>
          </cell>
        </row>
        <row r="102">
          <cell r="A102" t="str">
            <v>MICROSD_11X15_1_P3016KMA32B3_PHSNRCHCARD</v>
          </cell>
        </row>
        <row r="103">
          <cell r="A103" t="str">
            <v>MICROSD_11X15_1_P3016KED32B3_PHNXX2MR3P06A</v>
          </cell>
        </row>
        <row r="104">
          <cell r="A104" t="str">
            <v>MICROSD_11X15_1_P3032KED32B3_PHNXX2MR3P06A</v>
          </cell>
        </row>
        <row r="105">
          <cell r="A105" t="str">
            <v>MICROSD_11X15_1_P3032KED32B3_PHNXX2UX3P09A</v>
          </cell>
        </row>
        <row r="106">
          <cell r="A106" t="str">
            <v>MICROSD_11X15_1_P3016KMD43B3_PHSNRCHCARD</v>
          </cell>
        </row>
        <row r="107">
          <cell r="A107" t="str">
            <v>MICROSD_11X15_1_P3016KMD43B3_PHNXX1UX3P09A</v>
          </cell>
        </row>
        <row r="108">
          <cell r="A108" t="str">
            <v>MICROSD_11X15_1_P3032KED24B3_PHNXX2MH3P06A</v>
          </cell>
        </row>
        <row r="109">
          <cell r="A109" t="str">
            <v>MICROSD_11X15_1_P3032KMA24B3_CMBOS6UX3P09A</v>
          </cell>
        </row>
        <row r="110">
          <cell r="A110" t="str">
            <v>MICROSD_11X15_1_P3032KMA24B3_PHNXX2MH3P06A</v>
          </cell>
        </row>
        <row r="111">
          <cell r="A111" t="str">
            <v>MICROSD_11X15_1_P3016KMA24B3_PHNXX2MR3P06A</v>
          </cell>
        </row>
        <row r="112">
          <cell r="A112" t="str">
            <v>MICROSD_11X15_1_P3065KED24B3_PHNXX2MH3P06A</v>
          </cell>
        </row>
        <row r="113">
          <cell r="A113" t="str">
            <v>MICROSD_11X15_1_P3065KED24B3_PHNXX2MR3P06A</v>
          </cell>
        </row>
        <row r="114">
          <cell r="A114" t="str">
            <v>MICROSD_11X15_2_P3065KED24B3_PHNXX2MH3P06A</v>
          </cell>
        </row>
        <row r="115">
          <cell r="A115" t="str">
            <v>MICROSD_11X15_2_P3065KED24B3_PHNXX2MR3P06A</v>
          </cell>
        </row>
        <row r="116">
          <cell r="A116" t="str">
            <v>MICROSD_11X15_2_P3016KMA32B3_CMBOS4ML3P09A</v>
          </cell>
        </row>
        <row r="117">
          <cell r="A117" t="str">
            <v>MICROSD_11X15_2_P3032KED32B3_PHNXX2MR3P06A</v>
          </cell>
        </row>
        <row r="118">
          <cell r="A118" t="str">
            <v>MICROSD_11X15_2_P3032KED32B3_PHNXX2UX3P09A</v>
          </cell>
        </row>
        <row r="119">
          <cell r="A119" t="str">
            <v>MICROSD_11X15_2_P3032KED32B3_PHNXX2UX3P09B</v>
          </cell>
        </row>
        <row r="120">
          <cell r="A120" t="str">
            <v>MICROSD_11X15_2_P3032KED24B3_PHNXX2MH3P06A</v>
          </cell>
        </row>
        <row r="121">
          <cell r="A121" t="str">
            <v>MICROSD_11X15_2_P3032KMA24B3_CMBOS6UX3P09A</v>
          </cell>
        </row>
        <row r="122">
          <cell r="A122" t="str">
            <v>MICROSD_11X15_2_P3032KMA24B3_PHNXX2MH3P06A</v>
          </cell>
        </row>
        <row r="123">
          <cell r="A123" t="str">
            <v>MICROSD_11X15_4_P3016KMA32B3_CMBOS4ML3P09A</v>
          </cell>
        </row>
        <row r="124">
          <cell r="A124" t="str">
            <v>MICROSD_11X15_4_P3032KED32B3_PHNXX2MR3P06A</v>
          </cell>
        </row>
        <row r="125">
          <cell r="A125" t="str">
            <v>MICROSD_11X15_4_P3032KED32B3_PHNXX2UX3P09B</v>
          </cell>
        </row>
        <row r="126">
          <cell r="A126" t="str">
            <v>MICROSD_11X15_4_P3032KSD32B3_SHRKXXMX3P06C</v>
          </cell>
        </row>
        <row r="127">
          <cell r="A127" t="str">
            <v>MICROSD_11X15_4_P3032KMA24B3_CMBOS6UX3P09A</v>
          </cell>
        </row>
        <row r="128">
          <cell r="A128" t="str">
            <v>MICROSD_11X15_4_P3032KMA24B3_PHNXX2MH3P06A</v>
          </cell>
        </row>
        <row r="129">
          <cell r="A129" t="str">
            <v>MICROSD_11X15_4_P3065KED24B3_PHNXX2MH3P06A</v>
          </cell>
        </row>
        <row r="130">
          <cell r="A130" t="str">
            <v>MICROSD_11X15_4_P3016KMD43B3_CMBOX4UL3P09B</v>
          </cell>
        </row>
        <row r="131">
          <cell r="A131" t="str">
            <v>MICROSD_11X15_8_P3032KED32B3_PHNXX2UX3P09B</v>
          </cell>
        </row>
        <row r="132">
          <cell r="A132" t="str">
            <v>MICROSD_11X15_8_P3065KED24B3_PHNXX2MH3P06A</v>
          </cell>
        </row>
        <row r="133">
          <cell r="A133" t="str">
            <v>MICROSD_11X15_8_P3065KED24B3_PHNXX2MR3P06A</v>
          </cell>
        </row>
        <row r="134">
          <cell r="A134" t="str">
            <v>MICROSD_11X15_8_P3032KMA24B3_PHNXX2MH3P06A</v>
          </cell>
        </row>
        <row r="135">
          <cell r="A135" t="str">
            <v>JAK_12.5X15.2_1_P3032KED24B3_PHNXX2MR3P06A</v>
          </cell>
        </row>
        <row r="136">
          <cell r="A136" t="str">
            <v>JAK_12.5X15.2_1_P3065KED24B3_PHNXX2MR3P06A</v>
          </cell>
        </row>
        <row r="137">
          <cell r="A137" t="str">
            <v>JAK_12.5X15.2_2_P3065KED24B3_PHNXX2MR3P06A</v>
          </cell>
        </row>
        <row r="138">
          <cell r="A138" t="str">
            <v>JAK_12.5X15.2_4_P3065KED24B3_PHNXX2MR3P06A</v>
          </cell>
        </row>
        <row r="139">
          <cell r="A139" t="str">
            <v>JAK_12.5X15.2_8_P3065KED24B3_PHNXX2MR3P06A</v>
          </cell>
        </row>
        <row r="140">
          <cell r="A140" t="str">
            <v>GAMING_15X10_1_P3016KED32B3_PHNXX2MH3P06A</v>
          </cell>
        </row>
        <row r="141">
          <cell r="A141" t="str">
            <v>GAMING_15X10_1_P3032KED32B3_PHNXX2MH3P06A</v>
          </cell>
        </row>
        <row r="142">
          <cell r="A142" t="str">
            <v>MSPRODUO_15X10_1_P3016KMA32B3_PHNXX1UX3P09A</v>
          </cell>
        </row>
        <row r="143">
          <cell r="A143" t="str">
            <v>MSPRODUO_15X10_1_P3016KED32B3_PHNXX2MR3P06A</v>
          </cell>
        </row>
        <row r="144">
          <cell r="A144" t="str">
            <v>MSPRODUO_15X10_1_P3032KED24B3_PHNXX2MR3P06A</v>
          </cell>
        </row>
        <row r="145">
          <cell r="A145" t="str">
            <v>MSPRODUO_15X10_1_P3016KMA24B3_PHNXX2MR3P06A</v>
          </cell>
        </row>
        <row r="146">
          <cell r="A146" t="str">
            <v>MSPRODUO_15X18_1_P3016KMA32B3_PHNXX2UX3P09B</v>
          </cell>
        </row>
        <row r="147">
          <cell r="A147" t="str">
            <v>MSPRODUO_15X18_1_P3032KED32B3_PHNXX2UX3P09B</v>
          </cell>
        </row>
        <row r="148">
          <cell r="A148" t="str">
            <v>MSPRODUO_15X18_1_P3032KSD32B3_SHRKXXMX3P06C</v>
          </cell>
        </row>
        <row r="149">
          <cell r="A149" t="str">
            <v>MSPRODUO_15X18_1_P3032KED24B3_PHNXX2MR3P06A</v>
          </cell>
        </row>
        <row r="150">
          <cell r="A150" t="str">
            <v>MSPRODUO_15X18_1_P3065KED24B3_PHNXX2MR3P06A</v>
          </cell>
        </row>
        <row r="151">
          <cell r="A151" t="str">
            <v>MSPRODUO_15X18_2_P3016KMA32B3_PHNXX2UX3P09B</v>
          </cell>
        </row>
        <row r="152">
          <cell r="A152" t="str">
            <v>MSPRODUO_15X18_2_P3032KMA32B3_PHNXX2UX3P09B</v>
          </cell>
        </row>
        <row r="153">
          <cell r="A153" t="str">
            <v>MSPRODUO_15X18_2_P3032KSD32B3_SHRKXXMX3P06C</v>
          </cell>
        </row>
        <row r="154">
          <cell r="A154" t="str">
            <v>MSPRODUO_15X18_2_P3016KMA43B3_CMBOS4ML3P09A</v>
          </cell>
        </row>
        <row r="155">
          <cell r="A155" t="str">
            <v>MSPRODUO_15X18_2_P3065KED24B3_PHNXX2MR3P06A</v>
          </cell>
        </row>
        <row r="156">
          <cell r="A156" t="str">
            <v>MSPRODUO_15X18_4_P3032KMA32B3_PHNXX2UX3P09B</v>
          </cell>
        </row>
        <row r="157">
          <cell r="A157" t="str">
            <v>MSPRODUO_15X18_4_P3065KED24B3_PHNXX2MR3P06A</v>
          </cell>
        </row>
        <row r="158">
          <cell r="A158" t="str">
            <v>MSPRODUO_15X18_8_P3032KMA32B3_PHNXX2UX3P09B</v>
          </cell>
        </row>
        <row r="159">
          <cell r="A159" t="str">
            <v>MSPRODUO_15X22_1_P3065KED32B3_PHNXX2UX3P09B</v>
          </cell>
        </row>
        <row r="160">
          <cell r="A160" t="str">
            <v>MSPRODUO_15X22_2_P3065KED32B3_PHNXX2UX3P09B</v>
          </cell>
        </row>
        <row r="161">
          <cell r="A161" t="str">
            <v>MSPRODUO_15X22_4_P3065KED32B3_PHNXX2UX3P09B</v>
          </cell>
        </row>
        <row r="162">
          <cell r="A162" t="str">
            <v>SD_21.35X10.1_1_P3016KMA32B3_PHNXX1UX3P09A</v>
          </cell>
        </row>
        <row r="163">
          <cell r="A163" t="str">
            <v>SD_21.35X10.1_1_P3008KMA32B3_PHNXX1UX3P09A</v>
          </cell>
        </row>
        <row r="164">
          <cell r="A164" t="str">
            <v>SD_21.35X10.1_1_P3016KMA32B3_PHNXX2MR3P06A</v>
          </cell>
        </row>
        <row r="165">
          <cell r="A165" t="str">
            <v>SD_21.35X10.1_1_P3016KMA32B3_PHNXX2UX3P09B</v>
          </cell>
        </row>
        <row r="166">
          <cell r="A166" t="str">
            <v>SD_21.35X10.1_1_P3016KED32B3_PHNXX2MR3P06A</v>
          </cell>
        </row>
        <row r="167">
          <cell r="A167" t="str">
            <v>SD_21.35X10.1_1_P3016KMD43B3_PHNXX1UX3P09A</v>
          </cell>
        </row>
        <row r="168">
          <cell r="A168" t="str">
            <v>SD_21.35X10.1_1_P3016KMD43B3_CMBOX4ML3P09E</v>
          </cell>
        </row>
        <row r="169">
          <cell r="A169" t="str">
            <v>SD_21.35X10.1_1_P3032KED32B3_PHNXX2MR3P06A</v>
          </cell>
        </row>
        <row r="170">
          <cell r="A170" t="str">
            <v>SD_21.35X10.1_1_P3016KMA24B3_PHNXX2MR3P06A</v>
          </cell>
        </row>
        <row r="171">
          <cell r="A171" t="str">
            <v>SD_21.35X10.1_1_P3032KMA24B3_PHNXX2MH3P06A</v>
          </cell>
        </row>
        <row r="172">
          <cell r="A172" t="str">
            <v>SD_21.35X10.1_1_P3032KED24B3_PHNXX2MH3P06A</v>
          </cell>
        </row>
        <row r="173">
          <cell r="A173" t="str">
            <v>SD_21.35X10.1_1_P3065KED24B3_PHNXX2MH3P06A</v>
          </cell>
        </row>
        <row r="174">
          <cell r="A174" t="str">
            <v>SD_21.35X10.1_2_P3032KED24B3_PHNXX2MH3P06A</v>
          </cell>
        </row>
        <row r="175">
          <cell r="A175" t="str">
            <v>SD_21.35X10.1_2_P3065KED24B3_PHNXX2MH3P06A</v>
          </cell>
        </row>
        <row r="176">
          <cell r="A176" t="str">
            <v>SD_21.35X10.1_4_P3065KED24B3_PHNXX2MH3P06A</v>
          </cell>
        </row>
        <row r="177">
          <cell r="A177" t="str">
            <v>SD_21.35X10.1_8_P3065KED24B3_PHNXX2MH3P06A</v>
          </cell>
        </row>
        <row r="178">
          <cell r="A178" t="str">
            <v>SD_21.35X13.98_1_P3065KMH24B3_PHNXX2MR3P06A</v>
          </cell>
        </row>
        <row r="179">
          <cell r="A179" t="str">
            <v>SD_21.35X13.98_1_P3065KMA24B3_PHNXX2MH3P06A</v>
          </cell>
        </row>
        <row r="180">
          <cell r="A180" t="str">
            <v>SD_21.35X13.98_1_P3032KMA32B3_CMBOX4ML3P09D</v>
          </cell>
        </row>
        <row r="181">
          <cell r="A181" t="str">
            <v>SD_21.35X13.98_1_P3032KMA32B3_CMBOX4ML3P09E</v>
          </cell>
        </row>
        <row r="182">
          <cell r="A182" t="str">
            <v>SD_21.35X13.98_1_P3032KMA43B3_CMBOX4UL3P09B</v>
          </cell>
        </row>
        <row r="183">
          <cell r="A183" t="str">
            <v>SD_21.35X13.98_1_P3065KED32B3_PHNXX2MR3P06A</v>
          </cell>
        </row>
        <row r="184">
          <cell r="A184" t="str">
            <v>SD_21.35X13.98_1_P3065KED32B3_PHNXX2UX3P09A</v>
          </cell>
        </row>
        <row r="185">
          <cell r="A185" t="str">
            <v>SD_21.35X13.98_1_P3065KED32B3_PHNXX2UX3P09B</v>
          </cell>
        </row>
        <row r="186">
          <cell r="A186" t="str">
            <v>SD_21.35X13.98_2_P3065KMH24B3_PHNXX2MR3P06A</v>
          </cell>
        </row>
        <row r="187">
          <cell r="A187" t="str">
            <v>SD_21.35X13.98_2_P3065KMA24B3_PHNXX2MH3P06A</v>
          </cell>
        </row>
        <row r="188">
          <cell r="A188" t="str">
            <v>SD_21.35X13.98_2_P3016KMA32B3_PHNXX2UX3P09B</v>
          </cell>
        </row>
        <row r="189">
          <cell r="A189" t="str">
            <v>SD_21.35X13.98_2_P3032KMA32B3_CMBOX4ML3P09D</v>
          </cell>
        </row>
        <row r="190">
          <cell r="A190" t="str">
            <v>SD_21.35X13.98_2_P3032KMA32B3_CMBOX4ML3P09E</v>
          </cell>
        </row>
        <row r="191">
          <cell r="A191" t="str">
            <v>SD_21.35X13.98_2_P3032KMA32B3_CMBOX4UL3P09B</v>
          </cell>
        </row>
        <row r="192">
          <cell r="A192" t="str">
            <v>SD_21.35X13.98_2_P3032KMA32B3_PHNXX2UX3P09B</v>
          </cell>
        </row>
        <row r="193">
          <cell r="A193" t="str">
            <v>SD_21.35X13.98_2_P3032KMA32B3_PHNXX2UX3P09A</v>
          </cell>
        </row>
        <row r="194">
          <cell r="A194" t="str">
            <v>SD_21.35X13.98_2_P3065KED32B3_PHNXX2UX3P09B</v>
          </cell>
        </row>
        <row r="195">
          <cell r="A195" t="str">
            <v>SD_21.35X13.98_4_P3065KMH24B3_PHNXX2MR3P06A</v>
          </cell>
        </row>
        <row r="196">
          <cell r="A196" t="str">
            <v>SD_21.35X13.98_4_P3065KMA24B3_PHNXX2MH3P06A</v>
          </cell>
        </row>
        <row r="197">
          <cell r="A197" t="str">
            <v>SD_21.35X13.98_4_P3016KMA32B3_PHNXX2UX3P09B</v>
          </cell>
        </row>
        <row r="198">
          <cell r="A198" t="str">
            <v>SD_21.35X13.98_4_P3032KMA32B3_PHNXX2UX3P09B</v>
          </cell>
        </row>
        <row r="199">
          <cell r="A199" t="str">
            <v>SD_21.35X13.98_4_P3065KED32B3_PHNXX2UX3P09B</v>
          </cell>
        </row>
        <row r="200">
          <cell r="A200" t="str">
            <v>SD_21.35X13.98_8_P3032KMA32B3_PHNXX2UX3P09B</v>
          </cell>
        </row>
        <row r="201">
          <cell r="A201" t="str">
            <v>SD_21.35X13.98_8_P3065KED32B3_PHNXX2MR3P06A</v>
          </cell>
        </row>
        <row r="202">
          <cell r="A202" t="str">
            <v>SD_21.35X13.98_8_P3065KMH24B3_PHNXX2MR3P06A</v>
          </cell>
        </row>
        <row r="203">
          <cell r="A203" t="str">
            <v>SD_21.35X13.98_8_P3065KMA24B3_PHNXX2MH3P06A</v>
          </cell>
        </row>
        <row r="204">
          <cell r="A204" t="str">
            <v>SD_21.35X13.98_8_P3065KED24B3_PHNXX2MR3P06A</v>
          </cell>
        </row>
        <row r="205">
          <cell r="A205" t="str">
            <v>BINAA-MicroSD_11X15_1_P3016KMA32B3_PHNXX1UX3P09A</v>
          </cell>
        </row>
        <row r="206">
          <cell r="A206" t="str">
            <v>BINAA-MicroSD_11X15_1_P3032KED32B3_PHNXX2MR3P06A</v>
          </cell>
        </row>
        <row r="207">
          <cell r="A207" t="str">
            <v>BINAA-MicroSD_11X15_1_P3032KED32B3_PHNXX2UX3P09A</v>
          </cell>
        </row>
        <row r="208">
          <cell r="A208" t="str">
            <v>BINAA-SD_21.35X10.1_1_P3016KMA32B3_PHNXX1UX3P09A</v>
          </cell>
        </row>
        <row r="209">
          <cell r="A209" t="str">
            <v>BINAA-SD_21.35X13.98_1_P3032KMA32B3_CMBOX4ML3P09E</v>
          </cell>
        </row>
        <row r="210">
          <cell r="A210" t="str">
            <v>BINAA-SD_21.35X13.98_1_P3065KED32B3_PHNXX2UX3P09A</v>
          </cell>
        </row>
        <row r="211">
          <cell r="A211" t="str">
            <v>BINAA-SD_21.35X13.98_1_P3065KMH24B3_PHNXX2MR3P06A</v>
          </cell>
        </row>
      </sheetData>
      <sheetData sheetId="9">
        <row r="3">
          <cell r="A3" t="str">
            <v>BGA_12X18_2_P3065KMA24B3_NA</v>
          </cell>
          <cell r="CJ3">
            <v>6750</v>
          </cell>
          <cell r="CK3">
            <v>3105</v>
          </cell>
          <cell r="CL3">
            <v>1741.5</v>
          </cell>
          <cell r="CM3">
            <v>1200</v>
          </cell>
          <cell r="CN3" t="str">
            <v>NA</v>
          </cell>
          <cell r="CO3">
            <v>10152</v>
          </cell>
        </row>
        <row r="4">
          <cell r="A4" t="str">
            <v>BGA_12X18_4_P3065KMA24B3_NA</v>
          </cell>
          <cell r="CJ4">
            <v>2497.5</v>
          </cell>
          <cell r="CK4">
            <v>978.74999999999989</v>
          </cell>
          <cell r="CL4">
            <v>540</v>
          </cell>
          <cell r="CM4">
            <v>400</v>
          </cell>
          <cell r="CN4" t="str">
            <v>NA</v>
          </cell>
          <cell r="CO4">
            <v>10152</v>
          </cell>
        </row>
        <row r="5">
          <cell r="A5" t="str">
            <v>BGA_14X18_4_P3065KED32B3_NA</v>
          </cell>
          <cell r="CJ5">
            <v>3000</v>
          </cell>
          <cell r="CK5">
            <v>1380</v>
          </cell>
          <cell r="CL5">
            <v>774</v>
          </cell>
          <cell r="CM5">
            <v>500</v>
          </cell>
          <cell r="CN5">
            <v>95</v>
          </cell>
          <cell r="CO5">
            <v>8121.6</v>
          </cell>
        </row>
        <row r="6">
          <cell r="A6" t="str">
            <v>BGA_14X18_8_P3032KMA32B3_NA</v>
          </cell>
          <cell r="CJ6">
            <v>1170</v>
          </cell>
          <cell r="CK6">
            <v>652.5</v>
          </cell>
          <cell r="CL6">
            <v>360</v>
          </cell>
          <cell r="CM6">
            <v>80</v>
          </cell>
          <cell r="CN6" t="str">
            <v>NA</v>
          </cell>
          <cell r="CO6">
            <v>8121.6</v>
          </cell>
        </row>
        <row r="7">
          <cell r="A7" t="str">
            <v>LGA_12X18_8_P3032KMA32B3_NA</v>
          </cell>
          <cell r="CJ7">
            <v>1170</v>
          </cell>
          <cell r="CK7">
            <v>652.5</v>
          </cell>
          <cell r="CL7">
            <v>256.5</v>
          </cell>
          <cell r="CM7">
            <v>80</v>
          </cell>
          <cell r="CN7">
            <v>55</v>
          </cell>
          <cell r="CO7">
            <v>10152</v>
          </cell>
        </row>
        <row r="8">
          <cell r="A8" t="str">
            <v>LGA_14X18_2_P3032KMA32B3_NA</v>
          </cell>
          <cell r="CJ8">
            <v>9000</v>
          </cell>
          <cell r="CK8">
            <v>4140</v>
          </cell>
          <cell r="CL8">
            <v>2322</v>
          </cell>
          <cell r="CM8">
            <v>1200</v>
          </cell>
          <cell r="CN8">
            <v>320</v>
          </cell>
          <cell r="CO8">
            <v>8121.6</v>
          </cell>
        </row>
        <row r="9">
          <cell r="A9" t="str">
            <v>LGA_14X18_2_P3065KMA24B3_NA</v>
          </cell>
          <cell r="CJ9">
            <v>6750</v>
          </cell>
          <cell r="CK9">
            <v>3105</v>
          </cell>
          <cell r="CL9">
            <v>1741.5</v>
          </cell>
          <cell r="CM9">
            <v>1200</v>
          </cell>
          <cell r="CN9">
            <v>200</v>
          </cell>
          <cell r="CO9">
            <v>8121.6</v>
          </cell>
        </row>
        <row r="10">
          <cell r="A10" t="str">
            <v>LGA_14X18_2_P3065KMH24B3_NA</v>
          </cell>
          <cell r="CJ10">
            <v>6500</v>
          </cell>
          <cell r="CK10">
            <v>2990</v>
          </cell>
          <cell r="CL10">
            <v>1677</v>
          </cell>
          <cell r="CM10">
            <v>1200</v>
          </cell>
          <cell r="CN10" t="e">
            <v>#N/A</v>
          </cell>
          <cell r="CO10">
            <v>8121.6</v>
          </cell>
        </row>
        <row r="11">
          <cell r="A11" t="str">
            <v>LGA_14X18_4_P3032KMA32B3_NA</v>
          </cell>
          <cell r="CJ11">
            <v>3330</v>
          </cell>
          <cell r="CK11">
            <v>1305</v>
          </cell>
          <cell r="CL11">
            <v>720</v>
          </cell>
          <cell r="CM11">
            <v>400</v>
          </cell>
          <cell r="CN11">
            <v>160</v>
          </cell>
          <cell r="CO11">
            <v>8121.6</v>
          </cell>
        </row>
        <row r="12">
          <cell r="A12" t="str">
            <v>LGA_14X18_4_P3065KMA24B3_NA</v>
          </cell>
          <cell r="CJ12">
            <v>2497.5</v>
          </cell>
          <cell r="CK12">
            <v>978.74999999999989</v>
          </cell>
          <cell r="CL12">
            <v>540</v>
          </cell>
          <cell r="CM12">
            <v>400</v>
          </cell>
          <cell r="CN12">
            <v>80</v>
          </cell>
          <cell r="CO12">
            <v>8121.6</v>
          </cell>
        </row>
        <row r="13">
          <cell r="A13" t="str">
            <v>LGA_14X18_4_P3065KMH24B3_NA</v>
          </cell>
          <cell r="CJ13">
            <v>2405</v>
          </cell>
          <cell r="CK13">
            <v>942.50000000000011</v>
          </cell>
          <cell r="CL13">
            <v>487.5</v>
          </cell>
          <cell r="CM13">
            <v>400</v>
          </cell>
          <cell r="CN13" t="e">
            <v>#N/A</v>
          </cell>
          <cell r="CO13">
            <v>8121.6</v>
          </cell>
        </row>
        <row r="14">
          <cell r="A14" t="str">
            <v>LGA_14X18_8_P3065KED24B3_NA</v>
          </cell>
          <cell r="CJ14">
            <v>1105</v>
          </cell>
          <cell r="CK14">
            <v>616.25</v>
          </cell>
          <cell r="CL14">
            <v>212.50000000000003</v>
          </cell>
          <cell r="CM14">
            <v>80</v>
          </cell>
          <cell r="CN14">
            <v>80</v>
          </cell>
          <cell r="CO14">
            <v>8121.6</v>
          </cell>
        </row>
        <row r="15">
          <cell r="A15" t="str">
            <v>LGA_14X18_8_P3065KMA24B3_NA</v>
          </cell>
          <cell r="CJ15">
            <v>877.5</v>
          </cell>
          <cell r="CK15">
            <v>489.37499999999994</v>
          </cell>
          <cell r="CL15">
            <v>202.5</v>
          </cell>
          <cell r="CM15">
            <v>80</v>
          </cell>
          <cell r="CN15">
            <v>35</v>
          </cell>
          <cell r="CO15">
            <v>8121.6</v>
          </cell>
        </row>
        <row r="16">
          <cell r="A16" t="str">
            <v>MEMORY DEVICE_11X14_1_P3032KMA24B3_NA</v>
          </cell>
          <cell r="CJ16">
            <v>27800</v>
          </cell>
          <cell r="CK16">
            <v>12788</v>
          </cell>
          <cell r="CL16">
            <v>5838</v>
          </cell>
          <cell r="CM16">
            <v>2900</v>
          </cell>
          <cell r="CN16" t="str">
            <v>NA</v>
          </cell>
          <cell r="CO16">
            <v>12182.4</v>
          </cell>
        </row>
        <row r="17">
          <cell r="A17" t="str">
            <v>MEMORY DEVICE_11X14_2_P3032KMA32B3_NA</v>
          </cell>
          <cell r="CJ17">
            <v>9000</v>
          </cell>
          <cell r="CK17">
            <v>4140</v>
          </cell>
          <cell r="CL17">
            <v>2322</v>
          </cell>
          <cell r="CM17">
            <v>500</v>
          </cell>
          <cell r="CN17">
            <v>170</v>
          </cell>
          <cell r="CO17">
            <v>12182.4</v>
          </cell>
        </row>
        <row r="18">
          <cell r="A18" t="str">
            <v>MEMORY DEVICE_11X14_2_P3032KMA24B3_NA</v>
          </cell>
          <cell r="CJ18">
            <v>13900</v>
          </cell>
          <cell r="CK18">
            <v>6394</v>
          </cell>
          <cell r="CL18">
            <v>2919</v>
          </cell>
          <cell r="CM18">
            <v>1200</v>
          </cell>
          <cell r="CN18" t="str">
            <v>NA</v>
          </cell>
          <cell r="CO18">
            <v>12182.4</v>
          </cell>
        </row>
        <row r="19">
          <cell r="A19" t="str">
            <v>MEMORY DEVICE_11X14_4_P3032KMA24B3_NA</v>
          </cell>
          <cell r="CJ19">
            <v>5143</v>
          </cell>
          <cell r="CK19">
            <v>2015.5</v>
          </cell>
          <cell r="CL19">
            <v>778.4</v>
          </cell>
          <cell r="CM19">
            <v>400</v>
          </cell>
          <cell r="CN19" t="str">
            <v>NA</v>
          </cell>
          <cell r="CO19">
            <v>12182.4</v>
          </cell>
        </row>
        <row r="20">
          <cell r="A20" t="str">
            <v>MEMORY DEVICE_11X14_4_P3032KMA32B3_NA</v>
          </cell>
          <cell r="CJ20">
            <v>2340</v>
          </cell>
          <cell r="CK20">
            <v>1305</v>
          </cell>
          <cell r="CL20">
            <v>720</v>
          </cell>
          <cell r="CM20">
            <v>380</v>
          </cell>
          <cell r="CN20">
            <v>82.424242424242422</v>
          </cell>
          <cell r="CO20">
            <v>12182.4</v>
          </cell>
        </row>
        <row r="21">
          <cell r="A21" t="str">
            <v>MEMORY DEVICE_14X18_2_P3065KMH24B3_NA</v>
          </cell>
          <cell r="CJ21">
            <v>6500</v>
          </cell>
          <cell r="CK21">
            <v>2990</v>
          </cell>
          <cell r="CL21">
            <v>1677</v>
          </cell>
          <cell r="CM21">
            <v>1200</v>
          </cell>
          <cell r="CN21">
            <v>230</v>
          </cell>
          <cell r="CO21">
            <v>8121.6</v>
          </cell>
        </row>
        <row r="22">
          <cell r="A22" t="str">
            <v>MEMORY DEVICE_14X18_2_P3032KMA24B3_NA</v>
          </cell>
          <cell r="CJ22">
            <v>13900</v>
          </cell>
          <cell r="CK22">
            <v>6394</v>
          </cell>
          <cell r="CL22">
            <v>2919</v>
          </cell>
          <cell r="CM22">
            <v>1200</v>
          </cell>
          <cell r="CN22" t="str">
            <v>NA</v>
          </cell>
          <cell r="CO22">
            <v>8121.6</v>
          </cell>
        </row>
        <row r="23">
          <cell r="A23" t="str">
            <v>MEMORY DEVICE_14X18_4_P3065KMH24B3_NA</v>
          </cell>
          <cell r="CJ23">
            <v>2405</v>
          </cell>
          <cell r="CK23">
            <v>942.50000000000011</v>
          </cell>
          <cell r="CL23">
            <v>487.5</v>
          </cell>
          <cell r="CM23">
            <v>400</v>
          </cell>
          <cell r="CN23">
            <v>80</v>
          </cell>
          <cell r="CO23">
            <v>8121.6</v>
          </cell>
        </row>
        <row r="24">
          <cell r="A24" t="str">
            <v>MEMORY DEVICE_14X18_4_P3032KMA32B3_NA</v>
          </cell>
          <cell r="CJ24">
            <v>3330</v>
          </cell>
          <cell r="CK24">
            <v>1305</v>
          </cell>
          <cell r="CL24">
            <v>720</v>
          </cell>
          <cell r="CM24">
            <v>380</v>
          </cell>
          <cell r="CN24">
            <v>160</v>
          </cell>
          <cell r="CO24">
            <v>8121.6</v>
          </cell>
        </row>
        <row r="25">
          <cell r="A25" t="str">
            <v>MEMORY DEVICE_14X18_8_P3065KMH24B3_NA</v>
          </cell>
          <cell r="CJ25">
            <v>845</v>
          </cell>
          <cell r="CK25">
            <v>471.25000000000006</v>
          </cell>
          <cell r="CL25">
            <v>178.75</v>
          </cell>
          <cell r="CM25">
            <v>129</v>
          </cell>
          <cell r="CN25" t="str">
            <v>NA</v>
          </cell>
          <cell r="CO25">
            <v>8121.6</v>
          </cell>
        </row>
        <row r="26">
          <cell r="A26" t="str">
            <v>MEMORY DEVICE_14X18_8_P3032KMA32B3_NA</v>
          </cell>
          <cell r="CJ26">
            <v>1170</v>
          </cell>
          <cell r="CK26">
            <v>652.5</v>
          </cell>
          <cell r="CL26">
            <v>256.5</v>
          </cell>
          <cell r="CM26">
            <v>129</v>
          </cell>
          <cell r="CN26">
            <v>37.333333333333329</v>
          </cell>
          <cell r="CO26">
            <v>8121.6</v>
          </cell>
        </row>
        <row r="27">
          <cell r="A27" t="str">
            <v>INAND_11.5X13_1_P3016KMA32B3_PHNXX2UX3P09B</v>
          </cell>
          <cell r="CJ27">
            <v>28571.428571428569</v>
          </cell>
          <cell r="CK27">
            <v>13142.857142857143</v>
          </cell>
          <cell r="CL27">
            <v>3911.4503816793895</v>
          </cell>
          <cell r="CM27">
            <v>944.18604651162798</v>
          </cell>
          <cell r="CN27">
            <v>270</v>
          </cell>
          <cell r="CO27">
            <v>13536</v>
          </cell>
        </row>
        <row r="28">
          <cell r="A28" t="str">
            <v>INAND_11.5X13_1_P3016KED32B3_PHNXX2UX3P09B</v>
          </cell>
          <cell r="CJ28">
            <v>39252.336448598129</v>
          </cell>
          <cell r="CK28">
            <v>18056.074766355141</v>
          </cell>
          <cell r="CL28">
            <v>4200</v>
          </cell>
          <cell r="CM28">
            <v>944.18604651162798</v>
          </cell>
          <cell r="CN28">
            <v>315</v>
          </cell>
          <cell r="CO28">
            <v>13536</v>
          </cell>
        </row>
        <row r="29">
          <cell r="A29" t="str">
            <v>INAND_11.5X13_1_P3016KMA24B3_PHNXX2MH3P06A</v>
          </cell>
          <cell r="CJ29">
            <v>42086.330935251797</v>
          </cell>
          <cell r="CK29">
            <v>19359.712230215828</v>
          </cell>
          <cell r="CL29">
            <v>4524.8618784530381</v>
          </cell>
          <cell r="CM29">
            <v>944.18604651162798</v>
          </cell>
          <cell r="CN29" t="str">
            <v>NA</v>
          </cell>
          <cell r="CO29">
            <v>13536</v>
          </cell>
        </row>
        <row r="30">
          <cell r="A30" t="str">
            <v>INAND_11.5X13_1_P3032KMA24B3_PHNXX2MH3P06A</v>
          </cell>
          <cell r="CJ30">
            <v>26659.781646503394</v>
          </cell>
          <cell r="CK30">
            <v>12263.49955739156</v>
          </cell>
          <cell r="CL30">
            <v>3556.419868791003</v>
          </cell>
          <cell r="CM30">
            <v>944.18604651162798</v>
          </cell>
          <cell r="CN30">
            <v>310</v>
          </cell>
          <cell r="CO30">
            <v>13536</v>
          </cell>
        </row>
        <row r="31">
          <cell r="A31" t="str">
            <v>INAND_11.5X13_1_P3032KED24B3_SEALX1MX3P06A</v>
          </cell>
          <cell r="CJ31">
            <v>28770.30162412993</v>
          </cell>
          <cell r="CK31">
            <v>13234.338747099768</v>
          </cell>
          <cell r="CL31">
            <v>2942.3728813559323</v>
          </cell>
          <cell r="CM31">
            <v>944.18604651162798</v>
          </cell>
          <cell r="CN31" t="str">
            <v>NA</v>
          </cell>
          <cell r="CO31">
            <v>13536</v>
          </cell>
        </row>
        <row r="32">
          <cell r="A32" t="str">
            <v>INAND_11.5X13_1_P3065KND1XB3_SEALX1MX3P06A</v>
          </cell>
          <cell r="CJ32">
            <v>21212.121212121212</v>
          </cell>
          <cell r="CK32">
            <v>6065.2539522367979</v>
          </cell>
          <cell r="CL32">
            <v>2742.8571428571431</v>
          </cell>
          <cell r="CM32">
            <v>944.18604651162798</v>
          </cell>
          <cell r="CN32" t="e">
            <v>#N/A</v>
          </cell>
          <cell r="CO32">
            <v>13536</v>
          </cell>
        </row>
        <row r="33">
          <cell r="A33" t="str">
            <v>INAND_11.5X13_2_P3032KMA24B3_PHNXX2MH3P06A</v>
          </cell>
          <cell r="CJ33">
            <v>7148.5085845399162</v>
          </cell>
          <cell r="CK33">
            <v>3977.3785520293309</v>
          </cell>
          <cell r="CL33">
            <v>1329.3746715712034</v>
          </cell>
          <cell r="CM33">
            <v>660.37735849056605</v>
          </cell>
          <cell r="CN33" t="str">
            <v>NA</v>
          </cell>
          <cell r="CO33">
            <v>13536</v>
          </cell>
        </row>
        <row r="34">
          <cell r="A34" t="str">
            <v>INAND_11.5X13_2_P3032KED24B3_SEALX1MX3P06A</v>
          </cell>
          <cell r="CJ34">
            <v>7900.7989021222365</v>
          </cell>
          <cell r="CK34">
            <v>4387.8086951908535</v>
          </cell>
          <cell r="CL34">
            <v>1251.6916250693289</v>
          </cell>
          <cell r="CM34">
            <v>660.37735849056605</v>
          </cell>
          <cell r="CN34" t="str">
            <v>NA</v>
          </cell>
          <cell r="CO34">
            <v>13536</v>
          </cell>
        </row>
        <row r="35">
          <cell r="A35" t="str">
            <v>INAND_12X16_1_P3065KMA24B3_PHNXX2MH3P06A</v>
          </cell>
          <cell r="CJ35">
            <v>12981.507823613087</v>
          </cell>
          <cell r="CK35">
            <v>6011.9408350880794</v>
          </cell>
          <cell r="CL35">
            <v>2518.8985138679168</v>
          </cell>
          <cell r="CM35">
            <v>897.61904761904771</v>
          </cell>
          <cell r="CN35" t="str">
            <v>NA</v>
          </cell>
          <cell r="CO35">
            <v>12182.4</v>
          </cell>
        </row>
        <row r="36">
          <cell r="A36" t="str">
            <v>INAND_12X16_1_P3065KMH24B3_PHNXX2MH3P06A</v>
          </cell>
          <cell r="CJ36">
            <v>12518.518518518518</v>
          </cell>
          <cell r="CK36">
            <v>5796.1229946524072</v>
          </cell>
          <cell r="CL36">
            <v>2450.7306889352822</v>
          </cell>
          <cell r="CM36">
            <v>897.61904761904771</v>
          </cell>
          <cell r="CN36">
            <v>300</v>
          </cell>
          <cell r="CO36">
            <v>12182.4</v>
          </cell>
        </row>
        <row r="37">
          <cell r="A37" t="str">
            <v>INAND_12X16_1_P3032KMA32B3_CMBOS4ML3P09A</v>
          </cell>
          <cell r="CJ37">
            <v>16380</v>
          </cell>
          <cell r="CK37">
            <v>7655.4928037893969</v>
          </cell>
          <cell r="CL37">
            <v>2384.2833193629504</v>
          </cell>
          <cell r="CM37">
            <v>897.61904761904771</v>
          </cell>
          <cell r="CN37">
            <v>200</v>
          </cell>
          <cell r="CO37">
            <v>12182.4</v>
          </cell>
        </row>
        <row r="38">
          <cell r="A38" t="str">
            <v>INAND_12X16_1_P3032KMA32B3_PHNXX2UX3P09B</v>
          </cell>
          <cell r="CJ38">
            <v>17018.18181818182</v>
          </cell>
          <cell r="CK38">
            <v>7903.8841342988808</v>
          </cell>
          <cell r="CL38">
            <v>2990.616375344986</v>
          </cell>
          <cell r="CM38">
            <v>897.61904761904771</v>
          </cell>
          <cell r="CN38">
            <v>240</v>
          </cell>
          <cell r="CO38">
            <v>12182.4</v>
          </cell>
        </row>
        <row r="39">
          <cell r="A39" t="str">
            <v>INAND_12X16_1_P3032KMD32B3_PHNXX2UX3P09B</v>
          </cell>
          <cell r="CJ39">
            <v>23076.923076923078</v>
          </cell>
          <cell r="CK39">
            <v>10615.384615384615</v>
          </cell>
          <cell r="CL39">
            <v>3564.4736842105267</v>
          </cell>
          <cell r="CM39">
            <v>944.18604651162798</v>
          </cell>
          <cell r="CN39">
            <v>209.99999999999997</v>
          </cell>
          <cell r="CO39">
            <v>12182.4</v>
          </cell>
        </row>
        <row r="40">
          <cell r="A40" t="str">
            <v>INAND_12X16_1_P3032KED32B3_PHNXX2UX3P09A</v>
          </cell>
          <cell r="CJ40">
            <v>23076.923076923078</v>
          </cell>
          <cell r="CK40">
            <v>10615.384615384615</v>
          </cell>
          <cell r="CL40">
            <v>3564.4736842105267</v>
          </cell>
          <cell r="CM40">
            <v>944.18604651162798</v>
          </cell>
          <cell r="CN40">
            <v>215</v>
          </cell>
          <cell r="CO40">
            <v>12182.4</v>
          </cell>
        </row>
        <row r="41">
          <cell r="A41" t="str">
            <v>INAND_12X16_1_P3032KED32B3_PHNXX2UX3P09B</v>
          </cell>
          <cell r="CJ41">
            <v>23076.923076923078</v>
          </cell>
          <cell r="CK41">
            <v>10615.384615384615</v>
          </cell>
          <cell r="CL41">
            <v>3564.4736842105267</v>
          </cell>
          <cell r="CM41">
            <v>944.18604651162798</v>
          </cell>
          <cell r="CN41">
            <v>215</v>
          </cell>
          <cell r="CO41">
            <v>12182.4</v>
          </cell>
        </row>
        <row r="42">
          <cell r="A42" t="str">
            <v>INAND_12X16_1_P3065KEA1XB3_SEALX1MX3P06A</v>
          </cell>
          <cell r="CJ42">
            <v>20303.687635574835</v>
          </cell>
          <cell r="CK42">
            <v>5975.4701553556824</v>
          </cell>
          <cell r="CL42">
            <v>2749.090909090909</v>
          </cell>
          <cell r="CM42">
            <v>897.61904761904771</v>
          </cell>
          <cell r="CN42" t="e">
            <v>#N/A</v>
          </cell>
          <cell r="CO42">
            <v>12182.4</v>
          </cell>
        </row>
        <row r="43">
          <cell r="A43" t="str">
            <v>INAND_12X16_2_P3065KMH24B3_PHNXX2MH3P06A</v>
          </cell>
          <cell r="CJ43">
            <v>3346.5346534653463</v>
          </cell>
          <cell r="CK43">
            <v>1866.3366336633665</v>
          </cell>
          <cell r="CL43">
            <v>880.64516129032256</v>
          </cell>
          <cell r="CM43">
            <v>637.25490196078431</v>
          </cell>
          <cell r="CN43">
            <v>180</v>
          </cell>
          <cell r="CO43">
            <v>12182.4</v>
          </cell>
        </row>
        <row r="44">
          <cell r="A44" t="str">
            <v>INAND_12X16_2_P3065KMA24B3_PHNXX2MH3P06A</v>
          </cell>
          <cell r="CJ44">
            <v>3473.9246288542067</v>
          </cell>
          <cell r="CK44">
            <v>1937.3810430148455</v>
          </cell>
          <cell r="CL44">
            <v>743.79414732593341</v>
          </cell>
          <cell r="CM44">
            <v>637.25490196078431</v>
          </cell>
          <cell r="CN44" t="str">
            <v>NA</v>
          </cell>
          <cell r="CO44">
            <v>12182.4</v>
          </cell>
        </row>
        <row r="45">
          <cell r="A45" t="str">
            <v>INAND_12X16_2_P3065KED24B3_SEALX1MX3P06A</v>
          </cell>
          <cell r="CJ45">
            <v>4328.0293757649933</v>
          </cell>
          <cell r="CK45">
            <v>2413.7086903304776</v>
          </cell>
          <cell r="CL45">
            <v>737.98449612403112</v>
          </cell>
          <cell r="CM45">
            <v>637.25490196078431</v>
          </cell>
          <cell r="CN45" t="str">
            <v>NA</v>
          </cell>
          <cell r="CO45">
            <v>12182.4</v>
          </cell>
        </row>
        <row r="46">
          <cell r="A46" t="str">
            <v>INAND_12X16_2_P3032KMA32B3_CMBOS4ML3P09A</v>
          </cell>
          <cell r="CJ46">
            <v>8575.9162303664925</v>
          </cell>
          <cell r="CK46">
            <v>3977.7546383945478</v>
          </cell>
          <cell r="CL46">
            <v>1575.4361672666851</v>
          </cell>
          <cell r="CM46">
            <v>637.25490196078431</v>
          </cell>
          <cell r="CN46">
            <v>135</v>
          </cell>
          <cell r="CO46">
            <v>12182.4</v>
          </cell>
        </row>
        <row r="47">
          <cell r="A47" t="str">
            <v>INAND_12X16_2_P3032KMA32B3_PHNXX2UX3P09B</v>
          </cell>
          <cell r="CJ47">
            <v>8747.663551401869</v>
          </cell>
          <cell r="CK47">
            <v>4043.7857864600878</v>
          </cell>
          <cell r="CL47">
            <v>1819.1382204812535</v>
          </cell>
          <cell r="CM47">
            <v>637.25490196078431</v>
          </cell>
          <cell r="CN47">
            <v>140</v>
          </cell>
          <cell r="CO47">
            <v>12182.4</v>
          </cell>
        </row>
        <row r="48">
          <cell r="A48" t="str">
            <v>INAND_12X16_2_P3032KED32B3_PHNXX2UX3P09B</v>
          </cell>
          <cell r="CJ48">
            <v>11764.705882352942</v>
          </cell>
          <cell r="CK48">
            <v>5411.7647058823522</v>
          </cell>
          <cell r="CL48">
            <v>2262.2129436325677</v>
          </cell>
          <cell r="CM48">
            <v>660.37735849056605</v>
          </cell>
          <cell r="CN48">
            <v>150</v>
          </cell>
          <cell r="CO48">
            <v>12182.4</v>
          </cell>
        </row>
        <row r="49">
          <cell r="A49" t="str">
            <v>INAND_12X16_2_P3065KEA1XB3_SEALX1MX3P06A</v>
          </cell>
          <cell r="CJ49">
            <v>5689.9696048632222</v>
          </cell>
          <cell r="CK49">
            <v>3066.7226185480486</v>
          </cell>
          <cell r="CL49">
            <v>1821.6867469879519</v>
          </cell>
          <cell r="CM49">
            <v>637.25490196078431</v>
          </cell>
          <cell r="CN49" t="e">
            <v>#N/A</v>
          </cell>
          <cell r="CO49">
            <v>12182.4</v>
          </cell>
        </row>
        <row r="50">
          <cell r="A50" t="str">
            <v>INAND_12X16_4_P3065KMH24B3_PHNXX2MH3P06A</v>
          </cell>
          <cell r="CJ50">
            <v>1681.5920398009951</v>
          </cell>
          <cell r="CK50">
            <v>937.81094527363189</v>
          </cell>
          <cell r="CL50">
            <v>343.98625429553266</v>
          </cell>
          <cell r="CM50">
            <v>263.19018404907979</v>
          </cell>
          <cell r="CN50">
            <v>110</v>
          </cell>
          <cell r="CO50">
            <v>12182.4</v>
          </cell>
        </row>
        <row r="51">
          <cell r="A51" t="str">
            <v>INAND_12X16_4_P3065KMA24B3_PHNXX2MH3P06A</v>
          </cell>
          <cell r="CJ51">
            <v>1745.9345704993307</v>
          </cell>
          <cell r="CK51">
            <v>973.69427970154948</v>
          </cell>
          <cell r="CL51">
            <v>387.74329300368225</v>
          </cell>
          <cell r="CM51">
            <v>263.19018404907979</v>
          </cell>
          <cell r="CN51" t="str">
            <v>NA</v>
          </cell>
          <cell r="CO51">
            <v>12182.4</v>
          </cell>
        </row>
        <row r="52">
          <cell r="A52" t="str">
            <v>INAND_12X16_4_P3065KED24B3_SEALX1MX3P06A</v>
          </cell>
          <cell r="CJ52">
            <v>2186.765615337044</v>
          </cell>
          <cell r="CK52">
            <v>1219.5423623995055</v>
          </cell>
          <cell r="CL52">
            <v>395.02074688796682</v>
          </cell>
          <cell r="CM52">
            <v>263.19018404907979</v>
          </cell>
          <cell r="CN52" t="str">
            <v>NA</v>
          </cell>
          <cell r="CO52">
            <v>12182.4</v>
          </cell>
        </row>
        <row r="53">
          <cell r="A53" t="str">
            <v>INAND_12X16_4_P3032KMA32B3_CMBOS4ML3P09A</v>
          </cell>
          <cell r="CJ53">
            <v>2310.2961918194642</v>
          </cell>
          <cell r="CK53">
            <v>1288.4344146685473</v>
          </cell>
          <cell r="CL53">
            <v>464.38204322926293</v>
          </cell>
          <cell r="CM53">
            <v>263.19018404907979</v>
          </cell>
          <cell r="CN53">
            <v>72</v>
          </cell>
          <cell r="CO53">
            <v>12182.4</v>
          </cell>
        </row>
        <row r="54">
          <cell r="A54" t="str">
            <v>INAND_12X16_4_P3032KMA32B3_PHNXX2UX3P09A</v>
          </cell>
          <cell r="CJ54">
            <v>2322.5806451612902</v>
          </cell>
          <cell r="CK54">
            <v>1295.2853598014888</v>
          </cell>
          <cell r="CL54">
            <v>483.47357791989236</v>
          </cell>
          <cell r="CM54">
            <v>263.19018404907979</v>
          </cell>
          <cell r="CN54">
            <v>78</v>
          </cell>
          <cell r="CO54">
            <v>12182.4</v>
          </cell>
        </row>
        <row r="55">
          <cell r="A55" t="str">
            <v>INAND_12X16_4_P3032KMA32B3_PHNXX2UX3P09B</v>
          </cell>
          <cell r="CJ55">
            <v>2322.5806451612902</v>
          </cell>
          <cell r="CK55">
            <v>1295.2853598014888</v>
          </cell>
          <cell r="CL55">
            <v>483.47357791989236</v>
          </cell>
          <cell r="CM55">
            <v>263.19018404907979</v>
          </cell>
          <cell r="CN55">
            <v>78</v>
          </cell>
          <cell r="CO55">
            <v>12182.4</v>
          </cell>
        </row>
        <row r="56">
          <cell r="A56" t="str">
            <v>INAND_12X16_4_P3032KED32B3_PHNXX2UX3P09A</v>
          </cell>
          <cell r="CJ56">
            <v>3103.8599283724629</v>
          </cell>
          <cell r="CK56">
            <v>1729.0991574854181</v>
          </cell>
          <cell r="CL56">
            <v>693.57798165137615</v>
          </cell>
          <cell r="CM56">
            <v>298.87640449438203</v>
          </cell>
          <cell r="CN56">
            <v>80</v>
          </cell>
          <cell r="CO56">
            <v>12182.4</v>
          </cell>
        </row>
        <row r="57">
          <cell r="A57" t="str">
            <v>INAND_12X16_4_P3032KED32B3_PHNXX2UX3P09B</v>
          </cell>
          <cell r="CJ57">
            <v>3103.8599283724629</v>
          </cell>
          <cell r="CK57">
            <v>1729.0991574854181</v>
          </cell>
          <cell r="CL57">
            <v>693.57798165137615</v>
          </cell>
          <cell r="CM57">
            <v>298.87640449438203</v>
          </cell>
          <cell r="CN57">
            <v>80</v>
          </cell>
          <cell r="CO57">
            <v>12182.4</v>
          </cell>
        </row>
        <row r="58">
          <cell r="A58" t="str">
            <v>INAND_12X16_4_P3065KND1XB3_SEALX1MX3P06A</v>
          </cell>
          <cell r="CJ58">
            <v>2871.7948717948716</v>
          </cell>
          <cell r="CK58">
            <v>1547.0876428960264</v>
          </cell>
          <cell r="CL58">
            <v>1083.8709677419356</v>
          </cell>
          <cell r="CM58">
            <v>263.19018404907979</v>
          </cell>
          <cell r="CN58" t="e">
            <v>#N/A</v>
          </cell>
          <cell r="CO58">
            <v>12182.4</v>
          </cell>
        </row>
        <row r="59">
          <cell r="A59" t="str">
            <v>INAND_12X16_4_P3065KEA1XB3_SEALX1MX3P06A</v>
          </cell>
          <cell r="CJ59">
            <v>2884.4375963020029</v>
          </cell>
          <cell r="CK59">
            <v>1553.9017648309591</v>
          </cell>
          <cell r="CL59">
            <v>1087.769784172662</v>
          </cell>
          <cell r="CM59">
            <v>263.19018404907979</v>
          </cell>
          <cell r="CN59" t="e">
            <v>#N/A</v>
          </cell>
          <cell r="CO59">
            <v>12182.4</v>
          </cell>
        </row>
        <row r="60">
          <cell r="A60" t="str">
            <v>INAND_12X16_8_P3065KMH24B3_PHNXX2MH3P06A</v>
          </cell>
          <cell r="CJ60">
            <v>842.89276807980048</v>
          </cell>
          <cell r="CK60">
            <v>470.07481296758112</v>
          </cell>
          <cell r="CL60">
            <v>175.30647985989492</v>
          </cell>
          <cell r="CM60">
            <v>92.857142857142861</v>
          </cell>
          <cell r="CN60">
            <v>54.545454545454547</v>
          </cell>
          <cell r="CO60">
            <v>12182.4</v>
          </cell>
        </row>
        <row r="61">
          <cell r="A61" t="str">
            <v>INAND_12X16_8_P3065KMA24B3_PHNXX2MH3P06A</v>
          </cell>
          <cell r="CJ61">
            <v>875.22777404814428</v>
          </cell>
          <cell r="CK61">
            <v>488.10779706531122</v>
          </cell>
          <cell r="CL61">
            <v>198.09191077667296</v>
          </cell>
          <cell r="CM61">
            <v>92.857142857142861</v>
          </cell>
          <cell r="CN61" t="str">
            <v>NA</v>
          </cell>
          <cell r="CO61">
            <v>12182.4</v>
          </cell>
        </row>
        <row r="62">
          <cell r="A62" t="str">
            <v>INAND_12X16_8_P3065KED24B3_SEALX1MX3P06A</v>
          </cell>
          <cell r="CJ62">
            <v>1099.1607087348461</v>
          </cell>
          <cell r="CK62">
            <v>612.99347217904881</v>
          </cell>
          <cell r="CL62">
            <v>204.73118279569891</v>
          </cell>
          <cell r="CM62">
            <v>92.857142857142861</v>
          </cell>
          <cell r="CN62" t="str">
            <v>NA</v>
          </cell>
          <cell r="CO62">
            <v>12182.4</v>
          </cell>
        </row>
        <row r="63">
          <cell r="A63" t="str">
            <v>INAND_12X16_8_P3032KED32B3_PHNXX2UX3P09B</v>
          </cell>
          <cell r="CJ63">
            <v>1555.9545182525435</v>
          </cell>
          <cell r="CK63">
            <v>867.26622602665509</v>
          </cell>
          <cell r="CL63">
            <v>289.65517241379308</v>
          </cell>
          <cell r="CM63">
            <v>93.333333333333329</v>
          </cell>
          <cell r="CN63">
            <v>35</v>
          </cell>
          <cell r="CO63">
            <v>12182.4</v>
          </cell>
        </row>
        <row r="64">
          <cell r="A64" t="str">
            <v>INAND_12X16_8_P3065KND1XB3_SEALX1MX3P06A</v>
          </cell>
          <cell r="CJ64">
            <v>1445.8788480635551</v>
          </cell>
          <cell r="CK64">
            <v>778.73681326209078</v>
          </cell>
          <cell r="CL64">
            <v>600</v>
          </cell>
          <cell r="CM64">
            <v>92.857142857142861</v>
          </cell>
          <cell r="CN64" t="e">
            <v>#N/A</v>
          </cell>
          <cell r="CO64">
            <v>12182.4</v>
          </cell>
        </row>
        <row r="65">
          <cell r="A65" t="str">
            <v>INAND_12X16_8_P3065KEA1XB3_SEALX1MX3P06A</v>
          </cell>
          <cell r="CJ65">
            <v>1452.2885958107061</v>
          </cell>
          <cell r="CK65">
            <v>782.189874772557</v>
          </cell>
          <cell r="CL65">
            <v>602.39043824701196</v>
          </cell>
          <cell r="CM65">
            <v>92.857142857142861</v>
          </cell>
          <cell r="CN65" t="e">
            <v>#N/A</v>
          </cell>
          <cell r="CO65">
            <v>12182.4</v>
          </cell>
        </row>
        <row r="66">
          <cell r="A66" t="str">
            <v>INAND_12X18_8_P3032KMA32B3_PHNXX2UX3P09B</v>
          </cell>
          <cell r="CJ66">
            <v>1167.7229402664805</v>
          </cell>
          <cell r="CK66">
            <v>650.96104318594621</v>
          </cell>
          <cell r="CL66">
            <v>248.89967076763125</v>
          </cell>
          <cell r="CM66">
            <v>93.333333333333329</v>
          </cell>
          <cell r="CN66">
            <v>34.074074074074076</v>
          </cell>
          <cell r="CO66">
            <v>10152</v>
          </cell>
        </row>
        <row r="67">
          <cell r="A67" t="str">
            <v>INAND_14X18_1_P3131KND1XB3_SEALX1MX3P06A</v>
          </cell>
          <cell r="CJ67">
            <v>12057.971014492754</v>
          </cell>
          <cell r="CK67">
            <v>3476.5854963874767</v>
          </cell>
          <cell r="CL67">
            <v>1983.7638376383763</v>
          </cell>
          <cell r="CM67">
            <v>897.61904761904771</v>
          </cell>
          <cell r="CN67" t="e">
            <v>#N/A</v>
          </cell>
          <cell r="CO67">
            <v>8121.6</v>
          </cell>
        </row>
        <row r="68">
          <cell r="A68" t="str">
            <v>INAND_14X18_2_P3131KND1XB3_SEALX1MX3P06A</v>
          </cell>
          <cell r="CJ68">
            <v>6208.9552238805973</v>
          </cell>
          <cell r="CK68">
            <v>1764.7378429774521</v>
          </cell>
          <cell r="CL68">
            <v>1205.3811659192827</v>
          </cell>
          <cell r="CM68">
            <v>637.25490196078431</v>
          </cell>
          <cell r="CN68" t="e">
            <v>#N/A</v>
          </cell>
          <cell r="CO68">
            <v>8121.6</v>
          </cell>
        </row>
        <row r="69">
          <cell r="A69" t="str">
            <v>INAND_14X18_4_P3131KND1XB3_SEALX1MX3P06A</v>
          </cell>
          <cell r="CJ69">
            <v>2341.3446912077879</v>
          </cell>
          <cell r="CK69">
            <v>889.13222009307424</v>
          </cell>
          <cell r="CL69">
            <v>675.37688442211061</v>
          </cell>
          <cell r="CM69">
            <v>305.88235294117646</v>
          </cell>
          <cell r="CN69" t="e">
            <v>#N/A</v>
          </cell>
          <cell r="CO69">
            <v>8121.6</v>
          </cell>
        </row>
        <row r="70">
          <cell r="A70" t="str">
            <v>INAND_14X18_4_P3032KMA43B3_CMBOS4ML3P09A</v>
          </cell>
          <cell r="CJ70">
            <v>2102.9178151009492</v>
          </cell>
          <cell r="CK70">
            <v>826.95713779667017</v>
          </cell>
          <cell r="CL70">
            <v>644.22829795719406</v>
          </cell>
          <cell r="CM70">
            <v>305.88235294117646</v>
          </cell>
          <cell r="CN70">
            <v>60</v>
          </cell>
          <cell r="CO70">
            <v>8121.6</v>
          </cell>
        </row>
        <row r="71">
          <cell r="A71" t="str">
            <v>INAND_14X18_8_P3032KMA32B3_CMBOS4ML3P09A</v>
          </cell>
          <cell r="CJ71">
            <v>1166.1018879744852</v>
          </cell>
          <cell r="CK71">
            <v>649.86622539088478</v>
          </cell>
          <cell r="CL71">
            <v>243.7409095316591</v>
          </cell>
          <cell r="CM71">
            <v>93.333333333333329</v>
          </cell>
          <cell r="CN71">
            <v>38</v>
          </cell>
          <cell r="CO71">
            <v>8121.6</v>
          </cell>
        </row>
        <row r="72">
          <cell r="A72" t="str">
            <v>INAND_14X18_8_P3032KED32B3_PHNXX2UX3P09B</v>
          </cell>
          <cell r="CJ72">
            <v>1555.9545182525435</v>
          </cell>
          <cell r="CK72">
            <v>867.26622602665509</v>
          </cell>
          <cell r="CL72">
            <v>289.65517241379308</v>
          </cell>
          <cell r="CM72">
            <v>93.333333333333329</v>
          </cell>
          <cell r="CN72">
            <v>48</v>
          </cell>
          <cell r="CO72">
            <v>8121.6</v>
          </cell>
        </row>
        <row r="73">
          <cell r="A73" t="str">
            <v>INAND_16X20_8_P3065KED32B3_PHNXX2UX3P09B</v>
          </cell>
          <cell r="CJ73">
            <v>778.98731648856483</v>
          </cell>
          <cell r="CK73">
            <v>434.31548103532481</v>
          </cell>
          <cell r="CL73">
            <v>176.22377622377621</v>
          </cell>
          <cell r="CM73">
            <v>93.333333333333329</v>
          </cell>
          <cell r="CN73">
            <v>33</v>
          </cell>
          <cell r="CO73">
            <v>6768</v>
          </cell>
        </row>
        <row r="74">
          <cell r="A74" t="str">
            <v>MCP_11.5X13_1_P3032KED24B3_SEALX1MX3P06A_54-07-04196</v>
          </cell>
          <cell r="CJ74">
            <v>5997.2701027939174</v>
          </cell>
          <cell r="CK74">
            <v>3274.5641644239236</v>
          </cell>
          <cell r="CL74">
            <v>1236.7259502814727</v>
          </cell>
          <cell r="CM74">
            <v>222.09567198177675</v>
          </cell>
          <cell r="CN74" t="str">
            <v>NA</v>
          </cell>
          <cell r="CO74">
            <v>7992</v>
          </cell>
        </row>
        <row r="75">
          <cell r="A75" t="str">
            <v>MCP_11.5X13_1_P3032KMA24B3_PHNXX2MH3P06A_54-07-03915</v>
          </cell>
          <cell r="CJ75">
            <v>4177.8408409917765</v>
          </cell>
          <cell r="CK75">
            <v>2273.2297284480715</v>
          </cell>
          <cell r="CL75">
            <v>1122.9911274336794</v>
          </cell>
          <cell r="CM75">
            <v>162.09476309226935</v>
          </cell>
          <cell r="CN75" t="str">
            <v>NA</v>
          </cell>
          <cell r="CO75">
            <v>7992</v>
          </cell>
        </row>
        <row r="76">
          <cell r="A76" t="str">
            <v>MCP_11.5X13_1_P3032KMA24B3_PHNXX2MH3P06A_54-07-03914</v>
          </cell>
          <cell r="CJ76">
            <v>3388.6881285665154</v>
          </cell>
          <cell r="CK76">
            <v>1840.189091848164</v>
          </cell>
          <cell r="CL76">
            <v>988.87326480851755</v>
          </cell>
          <cell r="CM76">
            <v>127.61780104712042</v>
          </cell>
          <cell r="CN76" t="str">
            <v>NA</v>
          </cell>
          <cell r="CO76">
            <v>7992</v>
          </cell>
        </row>
        <row r="77">
          <cell r="A77" t="str">
            <v>MCP_11.5X13_1_P3032KMA24B3_PHNXX2MH3P06A_54-07-04048</v>
          </cell>
          <cell r="CJ77">
            <v>4425.1671847037769</v>
          </cell>
          <cell r="CK77">
            <v>2409.3016840501277</v>
          </cell>
          <cell r="CL77">
            <v>1160.7748928127069</v>
          </cell>
          <cell r="CM77">
            <v>222.09567198177675</v>
          </cell>
          <cell r="CN77" t="str">
            <v>NA</v>
          </cell>
          <cell r="CO77">
            <v>7992</v>
          </cell>
        </row>
        <row r="78">
          <cell r="A78" t="str">
            <v>MCP_11.5X13_2_P3032KMA24B3_PHNXX2MH3P06A_54-07-03917</v>
          </cell>
          <cell r="CJ78">
            <v>3241.1389424619902</v>
          </cell>
          <cell r="CK78">
            <v>1773.2337405431128</v>
          </cell>
          <cell r="CL78">
            <v>764.08844182759844</v>
          </cell>
          <cell r="CM78">
            <v>143.97394136807819</v>
          </cell>
          <cell r="CN78" t="str">
            <v>NA</v>
          </cell>
          <cell r="CO78">
            <v>7992</v>
          </cell>
        </row>
        <row r="79">
          <cell r="A79" t="str">
            <v>MCP_11.5X13_2_P3032KMA24B3_PHNXX2MH3P06A_54-07-03916</v>
          </cell>
          <cell r="CJ79">
            <v>2745.1796990577454</v>
          </cell>
          <cell r="CK79">
            <v>1498.2146190980231</v>
          </cell>
          <cell r="CL79">
            <v>699.53454557926091</v>
          </cell>
          <cell r="CM79">
            <v>116.11208406304728</v>
          </cell>
          <cell r="CN79" t="str">
            <v>NA</v>
          </cell>
          <cell r="CO79">
            <v>7992</v>
          </cell>
        </row>
        <row r="80">
          <cell r="A80" t="str">
            <v>MCP_11.5X13_2_P3032KMA24B3_PHNXX2MH3P06A_54-07-04049</v>
          </cell>
          <cell r="CJ80">
            <v>3388.0435566452725</v>
          </cell>
          <cell r="CK80">
            <v>1854.9546907237348</v>
          </cell>
          <cell r="CL80">
            <v>781.3943665816339</v>
          </cell>
          <cell r="CM80">
            <v>189.42857142857142</v>
          </cell>
          <cell r="CN80" t="str">
            <v>NA</v>
          </cell>
          <cell r="CO80">
            <v>7992</v>
          </cell>
        </row>
        <row r="81">
          <cell r="A81" t="str">
            <v>MCP_12X16_1_P3016KED32B3_PHNXX2UX3P09B_54-07-03907</v>
          </cell>
          <cell r="CJ81">
            <v>13257.985474934327</v>
          </cell>
          <cell r="CK81">
            <v>6750.0340305821501</v>
          </cell>
          <cell r="CL81">
            <v>2887.5</v>
          </cell>
          <cell r="CM81">
            <v>326.89210950080513</v>
          </cell>
          <cell r="CN81" t="str">
            <v>NA</v>
          </cell>
          <cell r="CO81">
            <v>7192.8</v>
          </cell>
        </row>
        <row r="82">
          <cell r="A82" t="str">
            <v>MCP_12X16_1_P3032KED32B3_PHNXX2UX3P09B_54-07-03909</v>
          </cell>
          <cell r="CJ82">
            <v>6981.6102108664827</v>
          </cell>
          <cell r="CK82">
            <v>3574.8546162349207</v>
          </cell>
          <cell r="CL82">
            <v>2012.086428089129</v>
          </cell>
          <cell r="CM82">
            <v>227.66355140186914</v>
          </cell>
          <cell r="CN82" t="str">
            <v>NA</v>
          </cell>
          <cell r="CO82">
            <v>7192.8</v>
          </cell>
        </row>
        <row r="83">
          <cell r="A83" t="str">
            <v>MCP_12X16_1_P3032KED32B3_PHNXX2UX3P09B_54-07-03908</v>
          </cell>
          <cell r="CJ83">
            <v>10720.022846535538</v>
          </cell>
          <cell r="CK83">
            <v>5348.5295175091687</v>
          </cell>
          <cell r="CL83">
            <v>2572.2054380664654</v>
          </cell>
          <cell r="CM83">
            <v>326.89210950080513</v>
          </cell>
          <cell r="CN83" t="str">
            <v>NA</v>
          </cell>
          <cell r="CO83">
            <v>7192.8</v>
          </cell>
        </row>
        <row r="84">
          <cell r="A84" t="str">
            <v>MCP_12X16_1_P3065KMH24B3_PHNXX2MH3P06A_54-07-03937</v>
          </cell>
          <cell r="CJ84">
            <v>9876.6233766233763</v>
          </cell>
          <cell r="CK84">
            <v>4712.2764189069712</v>
          </cell>
          <cell r="CL84">
            <v>2201.0051821567149</v>
          </cell>
          <cell r="CM84">
            <v>321.12436115843269</v>
          </cell>
          <cell r="CN84">
            <v>110</v>
          </cell>
          <cell r="CO84">
            <v>7192.8</v>
          </cell>
        </row>
        <row r="85">
          <cell r="A85" t="str">
            <v>MCP_12X16_1_P3065KMH24B3_PHNXX2MH3P06A_54-07-03910</v>
          </cell>
          <cell r="CJ85">
            <v>3325.1565095183337</v>
          </cell>
          <cell r="CK85">
            <v>1821.9908901800445</v>
          </cell>
          <cell r="CL85">
            <v>881.93832599118946</v>
          </cell>
          <cell r="CM85">
            <v>163.55748373101952</v>
          </cell>
          <cell r="CN85" t="str">
            <v>NA</v>
          </cell>
          <cell r="CO85">
            <v>7192.8</v>
          </cell>
        </row>
        <row r="86">
          <cell r="A86" t="str">
            <v>MCP_12X16_2_P3065KMH24B3_PHNXX2MH3P06A_54-07-03912</v>
          </cell>
          <cell r="CJ86">
            <v>4306.1443109648781</v>
          </cell>
          <cell r="CK86">
            <v>1737.6449500676738</v>
          </cell>
          <cell r="CL86">
            <v>1328.9225012185343</v>
          </cell>
          <cell r="CM86">
            <v>253.44036697247708</v>
          </cell>
          <cell r="CN86" t="str">
            <v>NA</v>
          </cell>
          <cell r="CO86">
            <v>7192.8</v>
          </cell>
        </row>
        <row r="87">
          <cell r="A87" t="str">
            <v>MCP_12X16_2_P3065KMH24B3_PHNXX2MH3P06A_54-07-03918</v>
          </cell>
          <cell r="CJ87">
            <v>1916.5091626263454</v>
          </cell>
          <cell r="CK87">
            <v>1052.7560329775795</v>
          </cell>
          <cell r="CL87">
            <v>502.11306855356582</v>
          </cell>
          <cell r="CM87">
            <v>116.11208406304728</v>
          </cell>
          <cell r="CN87" t="str">
            <v>NA</v>
          </cell>
          <cell r="CO87">
            <v>7192.8</v>
          </cell>
        </row>
        <row r="88">
          <cell r="A88" t="str">
            <v>MCP_12X16_2_P3065KMH24B3_PHNXX2MH3P06A_54-07-03938</v>
          </cell>
          <cell r="CJ88">
            <v>4306.1443109648781</v>
          </cell>
          <cell r="CK88">
            <v>1737.6449500676738</v>
          </cell>
          <cell r="CL88">
            <v>1328.9225012185343</v>
          </cell>
          <cell r="CM88">
            <v>253.44036697247708</v>
          </cell>
          <cell r="CN88">
            <v>85</v>
          </cell>
          <cell r="CO88">
            <v>7192.8</v>
          </cell>
        </row>
        <row r="89">
          <cell r="A89" t="str">
            <v>MCP_12X16_4_P3065KMH24B3_PHNXX2MH3P06A_54-07-03939</v>
          </cell>
          <cell r="CJ89">
            <v>1623.2657417289224</v>
          </cell>
          <cell r="CK89">
            <v>904.16278051658844</v>
          </cell>
          <cell r="CL89">
            <v>338.59404607169142</v>
          </cell>
          <cell r="CM89">
            <v>172.42765273311898</v>
          </cell>
          <cell r="CN89">
            <v>80</v>
          </cell>
          <cell r="CO89">
            <v>7192.8</v>
          </cell>
        </row>
        <row r="90">
          <cell r="A90" t="str">
            <v>ISSD_16X20_1_P3032KMA32B3_MTERX5MX3P09C</v>
          </cell>
          <cell r="CJ90">
            <v>16981.132075471698</v>
          </cell>
          <cell r="CK90">
            <v>7811.3207547169814</v>
          </cell>
          <cell r="CL90">
            <v>2205.4274084124831</v>
          </cell>
          <cell r="CM90">
            <v>944.18604651162798</v>
          </cell>
          <cell r="CN90">
            <v>100</v>
          </cell>
          <cell r="CO90">
            <v>6768</v>
          </cell>
        </row>
        <row r="91">
          <cell r="A91" t="str">
            <v>ISSD_16X20_1_P3065KMA24B3_MTERX6MX3P06A</v>
          </cell>
          <cell r="CJ91">
            <v>12918.660287081339</v>
          </cell>
          <cell r="CK91">
            <v>5942.5837320574165</v>
          </cell>
          <cell r="CL91">
            <v>1904.0218664584145</v>
          </cell>
          <cell r="CM91">
            <v>944.18604651162798</v>
          </cell>
          <cell r="CN91" t="str">
            <v>NA</v>
          </cell>
          <cell r="CO91">
            <v>6768</v>
          </cell>
        </row>
        <row r="92">
          <cell r="A92" t="str">
            <v>ISSD_16X20_2_P3032KMA32B3_MTERX5MX3P09C</v>
          </cell>
          <cell r="CJ92">
            <v>8737.8640776699031</v>
          </cell>
          <cell r="CK92">
            <v>4019.4174757281558</v>
          </cell>
          <cell r="CL92">
            <v>1495.308187672493</v>
          </cell>
          <cell r="CM92">
            <v>660.37735849056605</v>
          </cell>
          <cell r="CN92">
            <v>75</v>
          </cell>
          <cell r="CO92">
            <v>6768</v>
          </cell>
        </row>
        <row r="93">
          <cell r="A93" t="str">
            <v>ISSD_16X20_2_P3065KMA24B3_MTERX6MX3P06A</v>
          </cell>
          <cell r="CJ93">
            <v>6601.4669926650367</v>
          </cell>
          <cell r="CK93">
            <v>3036.6748166259167</v>
          </cell>
          <cell r="CL93">
            <v>1231.0527644534209</v>
          </cell>
          <cell r="CM93">
            <v>660.37735849056605</v>
          </cell>
          <cell r="CN93" t="str">
            <v>NA</v>
          </cell>
          <cell r="CO93">
            <v>6768</v>
          </cell>
        </row>
        <row r="94">
          <cell r="A94" t="str">
            <v>ISSD_16X20_4_P3032KMA32B3_MTERX5MX3P09C</v>
          </cell>
          <cell r="CJ94">
            <v>4433.4975369458125</v>
          </cell>
          <cell r="CK94">
            <v>2039.408866995074</v>
          </cell>
          <cell r="CL94">
            <v>909.56911024062674</v>
          </cell>
          <cell r="CM94">
            <v>311.11111111111114</v>
          </cell>
          <cell r="CN94">
            <v>55</v>
          </cell>
          <cell r="CO94">
            <v>6768</v>
          </cell>
        </row>
        <row r="95">
          <cell r="A95" t="str">
            <v>ISSD_16X20_4_P3065KMA24B3_MTERX6MX3P06A</v>
          </cell>
          <cell r="CJ95">
            <v>1744.792961177114</v>
          </cell>
          <cell r="CK95">
            <v>971.85720838617408</v>
          </cell>
          <cell r="CL95">
            <v>478.48101265822783</v>
          </cell>
          <cell r="CM95">
            <v>298.87640449438203</v>
          </cell>
          <cell r="CN95" t="str">
            <v>NA</v>
          </cell>
          <cell r="CO95">
            <v>6768</v>
          </cell>
        </row>
        <row r="96">
          <cell r="A96" t="str">
            <v>ISSD_16X20_8_P3032KMA32B3_MTERX5MX3P09C</v>
          </cell>
          <cell r="CJ96">
            <v>1655.8102530953208</v>
          </cell>
          <cell r="CK96">
            <v>649.42932871747712</v>
          </cell>
          <cell r="CL96">
            <v>331.57894736842104</v>
          </cell>
          <cell r="CM96">
            <v>93.333333333333329</v>
          </cell>
          <cell r="CN96">
            <v>30</v>
          </cell>
          <cell r="CO96">
            <v>6768</v>
          </cell>
        </row>
        <row r="97">
          <cell r="A97" t="str">
            <v>ISSD_16X20_8_P3065KMA24B3_MTERX6MX3P06A</v>
          </cell>
          <cell r="CJ97">
            <v>874.94079816536646</v>
          </cell>
          <cell r="CK97">
            <v>487.64571289313704</v>
          </cell>
          <cell r="CL97">
            <v>193.1856899488927</v>
          </cell>
          <cell r="CM97">
            <v>93.333333333333329</v>
          </cell>
          <cell r="CN97" t="str">
            <v>NA</v>
          </cell>
          <cell r="CO97">
            <v>6768</v>
          </cell>
        </row>
        <row r="98">
          <cell r="A98" t="str">
            <v>ISSD_16X20_16_P3032KMA32B3_MTERX5MX3P09C</v>
          </cell>
          <cell r="CJ98">
            <v>583.86147013324023</v>
          </cell>
          <cell r="CK98">
            <v>325.4805215929731</v>
          </cell>
          <cell r="CL98">
            <v>124.44983538381562</v>
          </cell>
          <cell r="CM98">
            <v>38.888888888888886</v>
          </cell>
          <cell r="CN98" t="str">
            <v>NA</v>
          </cell>
          <cell r="CO98">
            <v>6768</v>
          </cell>
        </row>
        <row r="99">
          <cell r="A99" t="str">
            <v>ISSD_16X20_16_P3065KMA24B3_MTERX6MX3P06A</v>
          </cell>
          <cell r="CJ99">
            <v>438.10926519964551</v>
          </cell>
          <cell r="CK99">
            <v>244.25441303124217</v>
          </cell>
          <cell r="CL99">
            <v>89.189897754085464</v>
          </cell>
          <cell r="CM99">
            <v>38.888888888888886</v>
          </cell>
          <cell r="CN99" t="str">
            <v>NA</v>
          </cell>
          <cell r="CO99">
            <v>6768</v>
          </cell>
        </row>
        <row r="100">
          <cell r="A100" t="str">
            <v>MICROSD_11X15_1_P3008KMA32B3_PHNXX1UX3P09A</v>
          </cell>
          <cell r="CJ100">
            <v>55555.555555555555</v>
          </cell>
          <cell r="CK100">
            <v>25555.555555555558</v>
          </cell>
          <cell r="CL100">
            <v>5547.1698113207549</v>
          </cell>
          <cell r="CM100">
            <v>944.18604651162798</v>
          </cell>
          <cell r="CN100">
            <v>419.99999999999994</v>
          </cell>
          <cell r="CO100">
            <v>13536</v>
          </cell>
        </row>
        <row r="101">
          <cell r="A101" t="str">
            <v>MICROSD_11X15_1_P3016KMA32B3_PHNXX1UX3P09A</v>
          </cell>
          <cell r="CJ101">
            <v>28846.153846153844</v>
          </cell>
          <cell r="CK101">
            <v>13269.23076923077</v>
          </cell>
          <cell r="CL101">
            <v>4313.1313131313136</v>
          </cell>
          <cell r="CM101">
            <v>944.18604651162798</v>
          </cell>
          <cell r="CN101">
            <v>410</v>
          </cell>
          <cell r="CO101">
            <v>13536</v>
          </cell>
        </row>
        <row r="102">
          <cell r="A102" t="str">
            <v>MICROSD_11X15_1_P3016KMA32B3_PHSNRCHCARD</v>
          </cell>
          <cell r="CJ102">
            <v>28676.47058823529</v>
          </cell>
          <cell r="CK102">
            <v>13191.176470588236</v>
          </cell>
          <cell r="CL102">
            <v>4056.7600487210721</v>
          </cell>
          <cell r="CM102">
            <v>944.18604651162798</v>
          </cell>
          <cell r="CN102" t="str">
            <v>NA</v>
          </cell>
          <cell r="CO102">
            <v>13536</v>
          </cell>
        </row>
        <row r="103">
          <cell r="A103" t="str">
            <v>MICROSD_11X15_1_P3016KED32B3_PHNXX2MR3P06A</v>
          </cell>
          <cell r="CJ103">
            <v>39772.727272727272</v>
          </cell>
          <cell r="CK103">
            <v>18295.454545454548</v>
          </cell>
          <cell r="CL103">
            <v>4666.666666666667</v>
          </cell>
          <cell r="CM103">
            <v>944.18604651162798</v>
          </cell>
          <cell r="CN103">
            <v>360</v>
          </cell>
          <cell r="CO103">
            <v>13536</v>
          </cell>
        </row>
        <row r="104">
          <cell r="A104" t="str">
            <v>MICROSD_11X15_1_P3032KED32B3_PHNXX2MR3P06A</v>
          </cell>
          <cell r="CJ104">
            <v>22608.695652173916</v>
          </cell>
          <cell r="CK104">
            <v>10506.694670517196</v>
          </cell>
          <cell r="CL104">
            <v>3895.0395398993528</v>
          </cell>
          <cell r="CM104">
            <v>897.61904761904771</v>
          </cell>
          <cell r="CN104">
            <v>300</v>
          </cell>
          <cell r="CO104">
            <v>13536</v>
          </cell>
        </row>
        <row r="105">
          <cell r="A105" t="str">
            <v>MICROSD_11X15_1_P3032KED32B3_PHNXX2UX3P09A</v>
          </cell>
          <cell r="CJ105">
            <v>22285.714285714286</v>
          </cell>
          <cell r="CK105">
            <v>10381.322957198443</v>
          </cell>
          <cell r="CL105">
            <v>3564.4736842105267</v>
          </cell>
          <cell r="CM105">
            <v>897.61904761904771</v>
          </cell>
          <cell r="CN105">
            <v>240</v>
          </cell>
          <cell r="CO105">
            <v>13536</v>
          </cell>
        </row>
        <row r="106">
          <cell r="A106" t="str">
            <v>MICROSD_11X15_1_P3016KMD43B3_PHSNRCHCARD</v>
          </cell>
          <cell r="CJ106">
            <v>24573.388203017832</v>
          </cell>
          <cell r="CK106">
            <v>11449.573969804174</v>
          </cell>
          <cell r="CL106">
            <v>3903.9154169542571</v>
          </cell>
          <cell r="CM106">
            <v>897.61904761904771</v>
          </cell>
          <cell r="CN106">
            <v>360</v>
          </cell>
          <cell r="CO106">
            <v>13536</v>
          </cell>
        </row>
        <row r="107">
          <cell r="A107" t="str">
            <v>MICROSD_11X15_1_P3016KMD43B3_PHNXX1UX3P09A</v>
          </cell>
          <cell r="CJ107">
            <v>24813.925570228093</v>
          </cell>
          <cell r="CK107">
            <v>11543.058034742478</v>
          </cell>
          <cell r="CL107">
            <v>4140.76829901367</v>
          </cell>
          <cell r="CM107">
            <v>897.61904761904771</v>
          </cell>
          <cell r="CN107">
            <v>230</v>
          </cell>
          <cell r="CO107">
            <v>13536</v>
          </cell>
        </row>
        <row r="108">
          <cell r="A108" t="str">
            <v>MICROSD_11X15_1_P3032KED24B3_PHNXX2MH3P06A</v>
          </cell>
          <cell r="CJ108">
            <v>29588.839941262846</v>
          </cell>
          <cell r="CK108">
            <v>13610.86637298091</v>
          </cell>
          <cell r="CL108">
            <v>3687.5816993464055</v>
          </cell>
          <cell r="CM108">
            <v>944.18604651162798</v>
          </cell>
          <cell r="CN108">
            <v>360</v>
          </cell>
          <cell r="CO108">
            <v>13536</v>
          </cell>
        </row>
        <row r="109">
          <cell r="A109" t="str">
            <v>MICROSD_11X15_1_P3032KMA24B3_CMBOS6UX3P09A</v>
          </cell>
          <cell r="CJ109">
            <v>25442.342892007324</v>
          </cell>
          <cell r="CK109">
            <v>11703.477730323368</v>
          </cell>
          <cell r="CL109">
            <v>2442.6778242677824</v>
          </cell>
          <cell r="CM109">
            <v>944.18604651162798</v>
          </cell>
          <cell r="CN109" t="str">
            <v>NA</v>
          </cell>
          <cell r="CO109">
            <v>13536</v>
          </cell>
        </row>
        <row r="110">
          <cell r="A110" t="str">
            <v>MICROSD_11X15_1_P3032KMA24B3_PHNXX2MH3P06A</v>
          </cell>
          <cell r="CJ110">
            <v>26659.781646503394</v>
          </cell>
          <cell r="CK110">
            <v>12263.49955739156</v>
          </cell>
          <cell r="CL110">
            <v>3556.419868791003</v>
          </cell>
          <cell r="CM110">
            <v>944.18604651162798</v>
          </cell>
          <cell r="CN110" t="str">
            <v>NA</v>
          </cell>
          <cell r="CO110">
            <v>13536</v>
          </cell>
        </row>
        <row r="111">
          <cell r="A111" t="str">
            <v>MICROSD_11X15_1_P3016KMA24B3_PHNXX2MR3P06A</v>
          </cell>
          <cell r="CJ111">
            <v>42452.830188679247</v>
          </cell>
          <cell r="CK111">
            <v>19528.301886792455</v>
          </cell>
          <cell r="CL111">
            <v>4846.1538461538457</v>
          </cell>
          <cell r="CM111">
            <v>944.18604651162798</v>
          </cell>
          <cell r="CN111" t="str">
            <v>NA</v>
          </cell>
          <cell r="CO111">
            <v>13536</v>
          </cell>
        </row>
        <row r="112">
          <cell r="A112" t="str">
            <v>MICROSD_11X15_1_P3065KED24B3_PHNXX2MH3P06A</v>
          </cell>
          <cell r="CJ112">
            <v>16185.915492957747</v>
          </cell>
          <cell r="CK112">
            <v>7508.5065199674009</v>
          </cell>
          <cell r="CL112">
            <v>2959.5580602105888</v>
          </cell>
          <cell r="CM112">
            <v>897.61904761904771</v>
          </cell>
          <cell r="CN112">
            <v>270</v>
          </cell>
          <cell r="CO112">
            <v>13536</v>
          </cell>
        </row>
        <row r="113">
          <cell r="A113" t="str">
            <v>MICROSD_11X15_1_P3065KED24B3_PHNXX2MR3P06A</v>
          </cell>
          <cell r="CJ113">
            <v>16289.92628992629</v>
          </cell>
          <cell r="CK113">
            <v>7548.5975501508974</v>
          </cell>
          <cell r="CL113">
            <v>3093.7122128174124</v>
          </cell>
          <cell r="CM113">
            <v>897.61904761904771</v>
          </cell>
          <cell r="CN113">
            <v>310</v>
          </cell>
          <cell r="CO113">
            <v>13536</v>
          </cell>
        </row>
        <row r="114">
          <cell r="A114" t="str">
            <v>MICROSD_11X15_2_P3065KED24B3_PHNXX2MH3P06A</v>
          </cell>
          <cell r="CJ114">
            <v>6175.0849574486629</v>
          </cell>
          <cell r="CK114">
            <v>2433.1814730447986</v>
          </cell>
          <cell r="CL114">
            <v>1767.1389356238378</v>
          </cell>
          <cell r="CM114">
            <v>637.25490196078431</v>
          </cell>
          <cell r="CN114">
            <v>190</v>
          </cell>
          <cell r="CO114">
            <v>13536</v>
          </cell>
        </row>
        <row r="115">
          <cell r="A115" t="str">
            <v>MICROSD_11X15_2_P3065KED24B3_PHNXX2MR3P06A</v>
          </cell>
          <cell r="CJ115">
            <v>6190.1637689570771</v>
          </cell>
          <cell r="CK115">
            <v>2437.3764007910349</v>
          </cell>
          <cell r="CL115">
            <v>1814.1101394469392</v>
          </cell>
          <cell r="CM115">
            <v>637.25490196078431</v>
          </cell>
          <cell r="CN115" t="str">
            <v>NA</v>
          </cell>
          <cell r="CO115">
            <v>13536</v>
          </cell>
        </row>
        <row r="116">
          <cell r="A116" t="str">
            <v>MICROSD_11X15_2_P3016KMA32B3_CMBOS4ML3P09A</v>
          </cell>
          <cell r="CJ116">
            <v>10461.936820300363</v>
          </cell>
          <cell r="CK116">
            <v>4171.232876712329</v>
          </cell>
          <cell r="CL116">
            <v>2075.294117647059</v>
          </cell>
          <cell r="CM116">
            <v>637.25490196078431</v>
          </cell>
          <cell r="CN116">
            <v>150</v>
          </cell>
          <cell r="CO116">
            <v>13536</v>
          </cell>
        </row>
        <row r="117">
          <cell r="A117" t="str">
            <v>MICROSD_11X15_2_P3032KED32B3_PHNXX2MR3P06A</v>
          </cell>
          <cell r="CJ117">
            <v>8682.3104693140795</v>
          </cell>
          <cell r="CK117">
            <v>3425.1968503937005</v>
          </cell>
          <cell r="CL117">
            <v>2390.9973521624006</v>
          </cell>
          <cell r="CM117">
            <v>637.25490196078431</v>
          </cell>
          <cell r="CN117">
            <v>190</v>
          </cell>
          <cell r="CO117">
            <v>13536</v>
          </cell>
        </row>
        <row r="118">
          <cell r="A118" t="str">
            <v>MICROSD_11X15_2_P3032KED32B3_PHNXX2UX3P09A</v>
          </cell>
          <cell r="CJ118">
            <v>8634.2557965594624</v>
          </cell>
          <cell r="CK118">
            <v>3411.7647058823527</v>
          </cell>
          <cell r="CL118">
            <v>2262.2129436325677</v>
          </cell>
          <cell r="CM118">
            <v>637.25490196078431</v>
          </cell>
          <cell r="CN118">
            <v>130</v>
          </cell>
          <cell r="CO118">
            <v>13536</v>
          </cell>
        </row>
        <row r="119">
          <cell r="A119" t="str">
            <v>MICROSD_11X15_2_P3032KED32B3_PHNXX2UX3P09B</v>
          </cell>
          <cell r="CJ119">
            <v>8634.2557965594624</v>
          </cell>
          <cell r="CK119">
            <v>3411.7647058823527</v>
          </cell>
          <cell r="CL119">
            <v>2262.2129436325677</v>
          </cell>
          <cell r="CM119">
            <v>637.25490196078431</v>
          </cell>
          <cell r="CN119">
            <v>130</v>
          </cell>
          <cell r="CO119">
            <v>13536</v>
          </cell>
        </row>
        <row r="120">
          <cell r="A120" t="str">
            <v>MICROSD_11X15_2_P3032KED24B3_PHNXX2MH3P06A</v>
          </cell>
          <cell r="CJ120">
            <v>11093.54164878244</v>
          </cell>
          <cell r="CK120">
            <v>4390.3080390683699</v>
          </cell>
          <cell r="CL120">
            <v>2312.2950819672133</v>
          </cell>
          <cell r="CM120">
            <v>637.25490196078431</v>
          </cell>
          <cell r="CN120" t="str">
            <v>NA</v>
          </cell>
          <cell r="CO120">
            <v>13536</v>
          </cell>
        </row>
        <row r="121">
          <cell r="A121" t="str">
            <v>MICROSD_11X15_2_P3032KMA24B3_CMBOS6UX3P09A</v>
          </cell>
          <cell r="CJ121">
            <v>9649.7359970171874</v>
          </cell>
          <cell r="CK121">
            <v>3852.5007964319852</v>
          </cell>
          <cell r="CL121">
            <v>1722.1238938053098</v>
          </cell>
          <cell r="CM121">
            <v>637.25490196078431</v>
          </cell>
          <cell r="CN121" t="str">
            <v>NA</v>
          </cell>
          <cell r="CO121">
            <v>13536</v>
          </cell>
        </row>
        <row r="122">
          <cell r="A122" t="str">
            <v>MICROSD_11X15_2_P3032KMA24B3_PHNXX2MH3P06A</v>
          </cell>
          <cell r="CJ122">
            <v>9982.2215076115608</v>
          </cell>
          <cell r="CK122">
            <v>3946.6034041271273</v>
          </cell>
          <cell r="CL122">
            <v>2210.0757134536984</v>
          </cell>
          <cell r="CM122">
            <v>637.25490196078431</v>
          </cell>
          <cell r="CN122" t="str">
            <v>NA</v>
          </cell>
          <cell r="CO122">
            <v>13536</v>
          </cell>
        </row>
        <row r="123">
          <cell r="A123" t="str">
            <v>MICROSD_11X15_4_P3016KMA32B3_CMBOS4ML3P09A</v>
          </cell>
          <cell r="CJ123">
            <v>3818.181818181818</v>
          </cell>
          <cell r="CK123">
            <v>2129.3706293706296</v>
          </cell>
          <cell r="CL123">
            <v>569.97294860234445</v>
          </cell>
          <cell r="CM123">
            <v>243.75</v>
          </cell>
          <cell r="CN123">
            <v>100</v>
          </cell>
          <cell r="CO123">
            <v>13536</v>
          </cell>
        </row>
        <row r="124">
          <cell r="A124" t="str">
            <v>MICROSD_11X15_4_P3032KED32B3_PHNXX2MR3P06A</v>
          </cell>
          <cell r="CJ124">
            <v>3095.2380952380954</v>
          </cell>
          <cell r="CK124">
            <v>1726.1904761904764</v>
          </cell>
          <cell r="CL124">
            <v>705.22388059701495</v>
          </cell>
          <cell r="CM124">
            <v>243.75</v>
          </cell>
          <cell r="CN124">
            <v>76.36363636363636</v>
          </cell>
          <cell r="CO124">
            <v>13536</v>
          </cell>
        </row>
        <row r="125">
          <cell r="A125" t="str">
            <v>MICROSD_11X15_4_P3032KED32B3_PHNXX2UX3P09B</v>
          </cell>
          <cell r="CJ125">
            <v>3089.1089108910892</v>
          </cell>
          <cell r="CK125">
            <v>1722.772277227723</v>
          </cell>
          <cell r="CL125">
            <v>693.57798165137615</v>
          </cell>
          <cell r="CM125">
            <v>243.75</v>
          </cell>
          <cell r="CN125">
            <v>68.253968253968253</v>
          </cell>
          <cell r="CO125">
            <v>13536</v>
          </cell>
        </row>
        <row r="126">
          <cell r="A126" t="str">
            <v>MICROSD_11X15_4_P3032KSD32B3_SHRKXXMX3P06C</v>
          </cell>
          <cell r="CJ126">
            <v>2947.6278496611217</v>
          </cell>
          <cell r="CK126">
            <v>1643.8693776956256</v>
          </cell>
          <cell r="CL126">
            <v>686.17988091507357</v>
          </cell>
          <cell r="CM126">
            <v>243.75</v>
          </cell>
          <cell r="CN126">
            <v>72.769230769230774</v>
          </cell>
          <cell r="CO126">
            <v>13536</v>
          </cell>
        </row>
        <row r="127">
          <cell r="A127" t="str">
            <v>MICROSD_11X15_4_P3032KMA24B3_CMBOS6UX3P09A</v>
          </cell>
          <cell r="CJ127">
            <v>3532.171363414237</v>
          </cell>
          <cell r="CK127">
            <v>1969.8647988271705</v>
          </cell>
          <cell r="CL127">
            <v>656.69291338582684</v>
          </cell>
          <cell r="CM127">
            <v>243.75</v>
          </cell>
          <cell r="CN127" t="str">
            <v>NA</v>
          </cell>
          <cell r="CO127">
            <v>13536</v>
          </cell>
        </row>
        <row r="128">
          <cell r="A128" t="str">
            <v>MICROSD_11X15_4_P3032KMA24B3_PHNXX2MH3P06A</v>
          </cell>
          <cell r="CJ128">
            <v>3594.0172640120932</v>
          </cell>
          <cell r="CK128">
            <v>2002.0048801473679</v>
          </cell>
          <cell r="CL128">
            <v>717.06349206349205</v>
          </cell>
          <cell r="CM128">
            <v>247.05882352941174</v>
          </cell>
          <cell r="CN128" t="str">
            <v>NA</v>
          </cell>
          <cell r="CO128">
            <v>13536</v>
          </cell>
        </row>
        <row r="129">
          <cell r="A129" t="str">
            <v>MICROSD_11X15_4_P3065KED24B3_PHNXX2MH3P06A</v>
          </cell>
          <cell r="CJ129">
            <v>2195.6438670233092</v>
          </cell>
          <cell r="CK129">
            <v>1224.4936950706917</v>
          </cell>
          <cell r="CL129">
            <v>543.48005786319482</v>
          </cell>
          <cell r="CM129">
            <v>243.75</v>
          </cell>
          <cell r="CN129">
            <v>114.8936170212766</v>
          </cell>
          <cell r="CO129">
            <v>13536</v>
          </cell>
        </row>
        <row r="130">
          <cell r="A130" t="str">
            <v>MICROSD_11X15_4_P3016KMD43B3_CMBOX4UL3P09B</v>
          </cell>
          <cell r="CJ130">
            <v>3403.997305187514</v>
          </cell>
          <cell r="CK130">
            <v>1898.3831125084212</v>
          </cell>
          <cell r="CL130">
            <v>742.30475855189809</v>
          </cell>
          <cell r="CM130">
            <v>243.75</v>
          </cell>
          <cell r="CN130" t="e">
            <v>#N/A</v>
          </cell>
          <cell r="CO130">
            <v>13536</v>
          </cell>
        </row>
        <row r="131">
          <cell r="A131" t="str">
            <v>MICROSD_11X15_8_P3032KED32B3_PHNXX2UX3P09B</v>
          </cell>
          <cell r="CJ131">
            <v>1552.2388059701493</v>
          </cell>
          <cell r="CK131">
            <v>776.51905252317204</v>
          </cell>
          <cell r="CL131">
            <v>267.21991701244815</v>
          </cell>
          <cell r="CM131">
            <v>51.219512195121951</v>
          </cell>
          <cell r="CN131">
            <v>24.489795918367346</v>
          </cell>
          <cell r="CO131">
            <v>10152</v>
          </cell>
        </row>
        <row r="132">
          <cell r="A132" t="str">
            <v>MICROSD_11X15_8_P3065KED24B3_PHNXX2MH3P06A</v>
          </cell>
          <cell r="CJ132">
            <v>1101.3992716120376</v>
          </cell>
          <cell r="CK132">
            <v>550.88533608389196</v>
          </cell>
          <cell r="CL132">
            <v>191.38830616965197</v>
          </cell>
          <cell r="CM132">
            <v>51.219512195121951</v>
          </cell>
          <cell r="CN132" t="str">
            <v>NA</v>
          </cell>
          <cell r="CO132">
            <v>10152</v>
          </cell>
        </row>
        <row r="133">
          <cell r="A133" t="str">
            <v>MICROSD_11X15_8_P3065KED24B3_PHNXX2MR3P06A</v>
          </cell>
          <cell r="CJ133">
            <v>1101.8780122984876</v>
          </cell>
          <cell r="CK133">
            <v>551.10007910938873</v>
          </cell>
          <cell r="CL133">
            <v>191.92651114954887</v>
          </cell>
          <cell r="CM133">
            <v>51.219512195121951</v>
          </cell>
          <cell r="CN133" t="str">
            <v>NA</v>
          </cell>
          <cell r="CO133">
            <v>10152</v>
          </cell>
        </row>
        <row r="134">
          <cell r="A134" t="str">
            <v>MICROSD_11X15_8_P3032KMA24B3_PHNXX2MH3P06A</v>
          </cell>
          <cell r="CJ134">
            <v>1797.3908718772718</v>
          </cell>
          <cell r="CK134">
            <v>899.19008888431313</v>
          </cell>
          <cell r="CL134">
            <v>263.21009918845812</v>
          </cell>
          <cell r="CM134">
            <v>51.219512195121951</v>
          </cell>
          <cell r="CN134" t="str">
            <v>NA</v>
          </cell>
          <cell r="CO134">
            <v>10152</v>
          </cell>
        </row>
        <row r="135">
          <cell r="A135" t="str">
            <v>JAK_12.5X15.2_1_P3032KED24B3_PHNXX2MR3P06A</v>
          </cell>
          <cell r="CJ135">
            <v>28717.339667458433</v>
          </cell>
          <cell r="CK135">
            <v>13382.594062823609</v>
          </cell>
          <cell r="CL135">
            <v>3898.2035928143714</v>
          </cell>
          <cell r="CM135">
            <v>563.88888888888891</v>
          </cell>
          <cell r="CN135" t="str">
            <v>NA</v>
          </cell>
          <cell r="CO135">
            <v>11844</v>
          </cell>
        </row>
        <row r="136">
          <cell r="A136" t="str">
            <v>JAK_12.5X15.2_1_P3065KED24B3_PHNXX2MR3P06A</v>
          </cell>
          <cell r="CJ136">
            <v>16289.92628992629</v>
          </cell>
          <cell r="CK136">
            <v>7548.5975501508974</v>
          </cell>
          <cell r="CL136">
            <v>3093.7122128174124</v>
          </cell>
          <cell r="CM136">
            <v>563.88888888888891</v>
          </cell>
          <cell r="CN136" t="str">
            <v>NA</v>
          </cell>
          <cell r="CO136">
            <v>11844</v>
          </cell>
        </row>
        <row r="137">
          <cell r="A137" t="str">
            <v>JAK_12.5X15.2_2_P3065KED24B3_PHNXX2MR3P06A</v>
          </cell>
          <cell r="CJ137">
            <v>6190.1637689570771</v>
          </cell>
          <cell r="CK137">
            <v>2437.3764007910349</v>
          </cell>
          <cell r="CL137">
            <v>1814.1101394469392</v>
          </cell>
          <cell r="CM137">
            <v>448.71794871794867</v>
          </cell>
          <cell r="CN137" t="str">
            <v>NA</v>
          </cell>
          <cell r="CO137">
            <v>11844</v>
          </cell>
        </row>
        <row r="138">
          <cell r="A138" t="str">
            <v>JAK_12.5X15.2_4_P3065KED24B3_PHNXX2MR3P06A</v>
          </cell>
          <cell r="CJ138">
            <v>2197.5472323500167</v>
          </cell>
          <cell r="CK138">
            <v>1225.5551872721246</v>
          </cell>
          <cell r="CL138">
            <v>547.84257086116622</v>
          </cell>
          <cell r="CM138">
            <v>209.99999999999997</v>
          </cell>
          <cell r="CN138" t="str">
            <v>NA</v>
          </cell>
          <cell r="CO138">
            <v>11844</v>
          </cell>
        </row>
        <row r="139">
          <cell r="A139" t="str">
            <v>JAK_12.5X15.2_8_P3065KED24B3_PHNXX2MR3P06A</v>
          </cell>
          <cell r="CJ139">
            <v>1101.8780122984876</v>
          </cell>
          <cell r="CK139">
            <v>614.5088914741566</v>
          </cell>
          <cell r="CL139">
            <v>208.28471411901984</v>
          </cell>
          <cell r="CM139">
            <v>57.798165137614681</v>
          </cell>
          <cell r="CN139" t="str">
            <v>NA</v>
          </cell>
          <cell r="CO139">
            <v>11844</v>
          </cell>
        </row>
        <row r="140">
          <cell r="A140" t="str">
            <v>GAMING_15X10_1_P3016KED32B3_PHNXX2MH3P06A</v>
          </cell>
          <cell r="CJ140">
            <v>37193.460490463214</v>
          </cell>
          <cell r="CK140">
            <v>17108.99182561308</v>
          </cell>
          <cell r="CL140">
            <v>2951.3513513513512</v>
          </cell>
          <cell r="CM140">
            <v>563.88888888888891</v>
          </cell>
          <cell r="CN140">
            <v>320</v>
          </cell>
          <cell r="CO140">
            <v>14889.6</v>
          </cell>
        </row>
        <row r="141">
          <cell r="A141" t="str">
            <v>GAMING_15X10_1_P3032KED32B3_PHNXX2MH3P06A</v>
          </cell>
          <cell r="CJ141">
            <v>21015.544041450779</v>
          </cell>
          <cell r="CK141">
            <v>9882.4199829043591</v>
          </cell>
          <cell r="CL141">
            <v>2622.7518153044125</v>
          </cell>
          <cell r="CM141">
            <v>563.88888888888891</v>
          </cell>
          <cell r="CN141">
            <v>300</v>
          </cell>
          <cell r="CO141">
            <v>14889.6</v>
          </cell>
        </row>
        <row r="142">
          <cell r="A142" t="str">
            <v>MSPRODUO_15X10_1_P3016KMA32B3_PHNXX1UX3P09A</v>
          </cell>
          <cell r="CJ142">
            <v>28846.153846153844</v>
          </cell>
          <cell r="CK142">
            <v>13269.23076923077</v>
          </cell>
          <cell r="CL142">
            <v>4313.1313131313136</v>
          </cell>
          <cell r="CM142">
            <v>944.18604651162798</v>
          </cell>
          <cell r="CN142">
            <v>300</v>
          </cell>
          <cell r="CO142">
            <v>14889.6</v>
          </cell>
        </row>
        <row r="143">
          <cell r="A143" t="str">
            <v>MSPRODUO_15X10_1_P3016KED32B3_PHNXX2MR3P06A</v>
          </cell>
          <cell r="CJ143">
            <v>39772.727272727272</v>
          </cell>
          <cell r="CK143">
            <v>18295.454545454548</v>
          </cell>
          <cell r="CL143">
            <v>4666.666666666667</v>
          </cell>
          <cell r="CM143">
            <v>944.18604651162798</v>
          </cell>
          <cell r="CN143">
            <v>370</v>
          </cell>
          <cell r="CO143">
            <v>14889.6</v>
          </cell>
        </row>
        <row r="144">
          <cell r="A144" t="str">
            <v>MSPRODUO_15X10_1_P3032KED24B3_PHNXX2MR3P06A</v>
          </cell>
          <cell r="CJ144">
            <v>29769.526248399485</v>
          </cell>
          <cell r="CK144">
            <v>13693.982074263762</v>
          </cell>
          <cell r="CL144">
            <v>3898.2035928143714</v>
          </cell>
          <cell r="CM144">
            <v>944.18604651162798</v>
          </cell>
          <cell r="CN144">
            <v>320</v>
          </cell>
          <cell r="CO144">
            <v>14889.6</v>
          </cell>
        </row>
        <row r="145">
          <cell r="A145" t="str">
            <v>MSPRODUO_15X10_1_P3016KMA24B3_PHNXX2MR3P06A</v>
          </cell>
          <cell r="CJ145">
            <v>42452.830188679247</v>
          </cell>
          <cell r="CK145">
            <v>19528.301886792455</v>
          </cell>
          <cell r="CL145">
            <v>4846.1538461538457</v>
          </cell>
          <cell r="CM145">
            <v>944.18604651162798</v>
          </cell>
          <cell r="CN145" t="e">
            <v>#N/A</v>
          </cell>
          <cell r="CO145">
            <v>14889.6</v>
          </cell>
        </row>
        <row r="146">
          <cell r="A146" t="str">
            <v>MSPRODUO_15X18_1_P3016KMA32B3_PHNXX2UX3P09B</v>
          </cell>
          <cell r="CJ146">
            <v>28571.428571428569</v>
          </cell>
          <cell r="CK146">
            <v>13142.857142857143</v>
          </cell>
          <cell r="CL146">
            <v>3911.4503816793895</v>
          </cell>
          <cell r="CM146">
            <v>944.18604651162798</v>
          </cell>
          <cell r="CN146" t="str">
            <v>NA</v>
          </cell>
          <cell r="CO146">
            <v>8121.6</v>
          </cell>
        </row>
        <row r="147">
          <cell r="A147" t="str">
            <v>MSPRODUO_15X18_1_P3032KED32B3_PHNXX2UX3P09B</v>
          </cell>
          <cell r="CJ147">
            <v>23076.923076923078</v>
          </cell>
          <cell r="CK147">
            <v>10615.384615384615</v>
          </cell>
          <cell r="CL147">
            <v>3564.4736842105267</v>
          </cell>
          <cell r="CM147">
            <v>944.18604651162798</v>
          </cell>
          <cell r="CN147">
            <v>275</v>
          </cell>
          <cell r="CO147">
            <v>8121.6</v>
          </cell>
        </row>
        <row r="148">
          <cell r="A148" t="str">
            <v>MSPRODUO_15X18_1_P3032KSD32B3_SHRKXXMX3P06C</v>
          </cell>
          <cell r="CJ148">
            <v>21749.408983451536</v>
          </cell>
          <cell r="CK148">
            <v>10004.728132387707</v>
          </cell>
          <cell r="CL148">
            <v>2881.0820183804408</v>
          </cell>
          <cell r="CM148">
            <v>944.18604651162798</v>
          </cell>
          <cell r="CN148" t="str">
            <v>NA</v>
          </cell>
          <cell r="CO148">
            <v>8121.6</v>
          </cell>
        </row>
        <row r="149">
          <cell r="A149" t="str">
            <v>MSPRODUO_15X18_1_P3032KED24B3_PHNXX2MR3P06A</v>
          </cell>
          <cell r="CJ149">
            <v>29769.526248399485</v>
          </cell>
          <cell r="CK149">
            <v>13693.982074263762</v>
          </cell>
          <cell r="CL149">
            <v>3898.2035928143714</v>
          </cell>
          <cell r="CM149">
            <v>944.18604651162798</v>
          </cell>
          <cell r="CN149">
            <v>320</v>
          </cell>
          <cell r="CO149">
            <v>8121.6</v>
          </cell>
        </row>
        <row r="150">
          <cell r="A150" t="str">
            <v>MSPRODUO_15X18_1_P3065KED24B3_PHNXX2MR3P06A</v>
          </cell>
          <cell r="CJ150">
            <v>16623.207301173403</v>
          </cell>
          <cell r="CK150">
            <v>7646.6753585397664</v>
          </cell>
          <cell r="CL150">
            <v>3093.7122128174124</v>
          </cell>
          <cell r="CM150">
            <v>944.18604651162798</v>
          </cell>
          <cell r="CN150">
            <v>330</v>
          </cell>
          <cell r="CO150">
            <v>8121.6</v>
          </cell>
        </row>
        <row r="151">
          <cell r="A151" t="str">
            <v>MSPRODUO_15X18_2_P3016KMA32B3_PHNXX2UX3P09B</v>
          </cell>
          <cell r="CJ151">
            <v>14634.146341463415</v>
          </cell>
          <cell r="CK151">
            <v>6731.7073170731701</v>
          </cell>
          <cell r="CL151">
            <v>2549.2537313432836</v>
          </cell>
          <cell r="CM151">
            <v>646.15384615384608</v>
          </cell>
          <cell r="CN151" t="str">
            <v>NA</v>
          </cell>
          <cell r="CO151">
            <v>8121.6</v>
          </cell>
        </row>
        <row r="152">
          <cell r="A152" t="str">
            <v>MSPRODUO_15X18_2_P3032KMA32B3_PHNXX2UX3P09B</v>
          </cell>
          <cell r="CJ152">
            <v>8866.995073891625</v>
          </cell>
          <cell r="CK152">
            <v>4078.8177339901481</v>
          </cell>
          <cell r="CL152">
            <v>1819.1382204812535</v>
          </cell>
          <cell r="CM152">
            <v>646.15384615384608</v>
          </cell>
          <cell r="CN152">
            <v>135</v>
          </cell>
          <cell r="CO152">
            <v>8121.6</v>
          </cell>
        </row>
        <row r="153">
          <cell r="A153" t="str">
            <v>MSPRODUO_15X18_2_P3032KSD32B3_SHRKXXMX3P06C</v>
          </cell>
          <cell r="CJ153">
            <v>11178.614823815309</v>
          </cell>
          <cell r="CK153">
            <v>5142.162818955042</v>
          </cell>
          <cell r="CL153">
            <v>1939.4420450566126</v>
          </cell>
          <cell r="CM153">
            <v>646.15384615384608</v>
          </cell>
          <cell r="CN153" t="str">
            <v>NA</v>
          </cell>
          <cell r="CO153">
            <v>8164.8</v>
          </cell>
        </row>
        <row r="154">
          <cell r="A154" t="str">
            <v>MSPRODUO_15X18_2_P3016KMA43B3_CMBOS4ML3P09A</v>
          </cell>
          <cell r="CJ154">
            <v>10664.819944598339</v>
          </cell>
          <cell r="CK154">
            <v>4905.8171745152349</v>
          </cell>
          <cell r="CL154">
            <v>1797.1310416128197</v>
          </cell>
          <cell r="CM154">
            <v>646.15384615384608</v>
          </cell>
          <cell r="CN154">
            <v>45</v>
          </cell>
          <cell r="CO154">
            <v>8121.6</v>
          </cell>
        </row>
        <row r="155">
          <cell r="A155" t="str">
            <v>MSPRODUO_15X18_2_P3065KED24B3_PHNXX2MR3P06A</v>
          </cell>
          <cell r="CJ155">
            <v>8404.746209624258</v>
          </cell>
          <cell r="CK155">
            <v>3866.183256427159</v>
          </cell>
          <cell r="CL155">
            <v>1814.1101394469392</v>
          </cell>
          <cell r="CM155">
            <v>646.15384615384608</v>
          </cell>
          <cell r="CN155">
            <v>160</v>
          </cell>
          <cell r="CO155">
            <v>8121.6</v>
          </cell>
        </row>
        <row r="156">
          <cell r="A156" t="str">
            <v>MSPRODUO_15X18_4_P3032KMA32B3_PHNXX2UX3P09B</v>
          </cell>
          <cell r="CJ156">
            <v>2330.9094531327819</v>
          </cell>
          <cell r="CK156">
            <v>1298.8586574349542</v>
          </cell>
          <cell r="CL156">
            <v>663.15789473684208</v>
          </cell>
          <cell r="CM156">
            <v>298.87640449438203</v>
          </cell>
          <cell r="CN156">
            <v>65</v>
          </cell>
          <cell r="CO156">
            <v>8121.6</v>
          </cell>
        </row>
        <row r="157">
          <cell r="A157" t="str">
            <v>MSPRODUO_15X18_4_P3065KED24B3_PHNXX2MR3P06A</v>
          </cell>
          <cell r="CJ157">
            <v>2203.5069993751745</v>
          </cell>
          <cell r="CK157">
            <v>1228.1126121897858</v>
          </cell>
          <cell r="CL157">
            <v>547.84257086116622</v>
          </cell>
          <cell r="CM157">
            <v>298.87640449438203</v>
          </cell>
          <cell r="CN157">
            <v>80</v>
          </cell>
          <cell r="CO157">
            <v>8121.6</v>
          </cell>
        </row>
        <row r="158">
          <cell r="A158" t="str">
            <v>MSPRODUO_15X18_8_P3032KMA32B3_PHNXX2UX3P09B</v>
          </cell>
          <cell r="CJ158">
            <v>1167.7229402664805</v>
          </cell>
          <cell r="CK158">
            <v>650.96104318594621</v>
          </cell>
          <cell r="CL158">
            <v>248.89967076763125</v>
          </cell>
          <cell r="CM158">
            <v>75.675675675675677</v>
          </cell>
          <cell r="CN158" t="str">
            <v>NA</v>
          </cell>
          <cell r="CO158">
            <v>8121.6</v>
          </cell>
        </row>
        <row r="159">
          <cell r="A159" t="str">
            <v>MSPRODUO_15X22_1_P3065KED32B3_PHNXX2UX3P09B</v>
          </cell>
          <cell r="CJ159">
            <v>11764.705882352942</v>
          </cell>
          <cell r="CK159">
            <v>5411.7647058823522</v>
          </cell>
          <cell r="CL159">
            <v>2262.2129436325677</v>
          </cell>
          <cell r="CM159">
            <v>944.18604651162798</v>
          </cell>
          <cell r="CN159">
            <v>270</v>
          </cell>
          <cell r="CO159">
            <v>6768</v>
          </cell>
        </row>
        <row r="160">
          <cell r="A160" t="str">
            <v>MSPRODUO_15X22_2_P3065KED32B3_PHNXX2UX3P09B</v>
          </cell>
          <cell r="CJ160">
            <v>5940.5940594059412</v>
          </cell>
          <cell r="CK160">
            <v>2732.6732673267325</v>
          </cell>
          <cell r="CL160">
            <v>1307.1170084439084</v>
          </cell>
          <cell r="CM160">
            <v>646.15384615384608</v>
          </cell>
          <cell r="CN160">
            <v>125</v>
          </cell>
          <cell r="CO160">
            <v>6768</v>
          </cell>
        </row>
        <row r="161">
          <cell r="A161" t="str">
            <v>MSPRODUO_15X22_4_P3065KED32B3_PHNXX2UX3P09B</v>
          </cell>
          <cell r="CJ161">
            <v>1555.9545182525435</v>
          </cell>
          <cell r="CK161">
            <v>867.26622602665509</v>
          </cell>
          <cell r="CL161">
            <v>443.30175913396482</v>
          </cell>
          <cell r="CM161">
            <v>298.87640449438203</v>
          </cell>
          <cell r="CN161">
            <v>70</v>
          </cell>
          <cell r="CO161">
            <v>6768</v>
          </cell>
        </row>
        <row r="162">
          <cell r="A162" t="str">
            <v>SD_21.35X10.1_1_P3016KMA32B3_PHNXX1UX3P09A</v>
          </cell>
          <cell r="CJ162">
            <v>28846.153846153844</v>
          </cell>
          <cell r="CK162">
            <v>13269.23076923077</v>
          </cell>
          <cell r="CL162">
            <v>4313.1313131313136</v>
          </cell>
          <cell r="CM162">
            <v>884.21052631578948</v>
          </cell>
          <cell r="CN162">
            <v>430</v>
          </cell>
          <cell r="CO162">
            <v>11167.2</v>
          </cell>
        </row>
        <row r="163">
          <cell r="A163" t="str">
            <v>SD_21.35X10.1_1_P3008KMA32B3_PHNXX1UX3P09A</v>
          </cell>
          <cell r="CJ163">
            <v>55555.555555555555</v>
          </cell>
          <cell r="CK163">
            <v>25555.555555555558</v>
          </cell>
          <cell r="CL163">
            <v>5547.1698113207549</v>
          </cell>
          <cell r="CM163">
            <v>884.21052631578948</v>
          </cell>
          <cell r="CN163" t="str">
            <v>NA</v>
          </cell>
          <cell r="CO163">
            <v>11167.2</v>
          </cell>
        </row>
        <row r="164">
          <cell r="A164" t="str">
            <v>SD_21.35X10.1_1_P3016KMA32B3_PHNXX2MR3P06A</v>
          </cell>
          <cell r="CJ164">
            <v>28846.153846153844</v>
          </cell>
          <cell r="CK164">
            <v>13269.23076923077</v>
          </cell>
          <cell r="CL164">
            <v>4313.1313131313136</v>
          </cell>
          <cell r="CM164">
            <v>884.21052631578948</v>
          </cell>
          <cell r="CN164">
            <v>280</v>
          </cell>
          <cell r="CO164">
            <v>11167.2</v>
          </cell>
        </row>
        <row r="165">
          <cell r="A165" t="str">
            <v>SD_21.35X10.1_1_P3016KMA32B3_PHNXX2UX3P09B</v>
          </cell>
          <cell r="CJ165">
            <v>28571.428571428569</v>
          </cell>
          <cell r="CK165">
            <v>13142.857142857143</v>
          </cell>
          <cell r="CL165">
            <v>3911.4503816793895</v>
          </cell>
          <cell r="CM165">
            <v>884.21052631578948</v>
          </cell>
          <cell r="CN165">
            <v>230</v>
          </cell>
          <cell r="CO165">
            <v>11167.2</v>
          </cell>
        </row>
        <row r="166">
          <cell r="A166" t="str">
            <v>SD_21.35X10.1_1_P3016KED32B3_PHNXX2MR3P06A</v>
          </cell>
          <cell r="CJ166">
            <v>39772.727272727272</v>
          </cell>
          <cell r="CK166">
            <v>18295.454545454548</v>
          </cell>
          <cell r="CL166">
            <v>4666.666666666667</v>
          </cell>
          <cell r="CM166">
            <v>884.21052631578948</v>
          </cell>
          <cell r="CN166">
            <v>350</v>
          </cell>
          <cell r="CO166">
            <v>11167.2</v>
          </cell>
        </row>
        <row r="167">
          <cell r="A167" t="str">
            <v>SD_21.35X10.1_1_P3016KMD43B3_PHNXX1UX3P09A</v>
          </cell>
          <cell r="CJ167">
            <v>25595.621377978103</v>
          </cell>
          <cell r="CK167">
            <v>11773.985833869929</v>
          </cell>
          <cell r="CL167">
            <v>4140.76829901367</v>
          </cell>
          <cell r="CM167">
            <v>884.21052631578948</v>
          </cell>
          <cell r="CN167" t="str">
            <v>NA</v>
          </cell>
          <cell r="CO167">
            <v>11167.2</v>
          </cell>
        </row>
        <row r="168">
          <cell r="A168" t="str">
            <v>SD_21.35X10.1_1_P3016KMD43B3_CMBOX4ML3P09E</v>
          </cell>
          <cell r="CJ168">
            <v>25281.873373807459</v>
          </cell>
          <cell r="CK168">
            <v>11629.661751951431</v>
          </cell>
          <cell r="CL168">
            <v>3621.4418380683769</v>
          </cell>
          <cell r="CM168">
            <v>884.21052631578948</v>
          </cell>
          <cell r="CN168" t="str">
            <v>NA</v>
          </cell>
          <cell r="CO168">
            <v>11167.2</v>
          </cell>
        </row>
        <row r="169">
          <cell r="A169" t="str">
            <v>SD_21.35X10.1_1_P3032KED32B3_PHNXX2MR3P06A</v>
          </cell>
          <cell r="CJ169">
            <v>23255.81395348837</v>
          </cell>
          <cell r="CK169">
            <v>10697.674418604651</v>
          </cell>
          <cell r="CL169">
            <v>3895.0395398993528</v>
          </cell>
          <cell r="CM169">
            <v>884.21052631578948</v>
          </cell>
          <cell r="CN169">
            <v>300</v>
          </cell>
          <cell r="CO169">
            <v>11167.2</v>
          </cell>
        </row>
        <row r="170">
          <cell r="A170" t="str">
            <v>SD_21.35X10.1_1_P3016KMA24B3_PHNXX2MR3P06A</v>
          </cell>
          <cell r="CJ170">
            <v>42452.830188679247</v>
          </cell>
          <cell r="CK170">
            <v>19528.301886792455</v>
          </cell>
          <cell r="CL170">
            <v>4846.1538461538457</v>
          </cell>
          <cell r="CM170">
            <v>884.21052631578948</v>
          </cell>
          <cell r="CN170" t="e">
            <v>#N/A</v>
          </cell>
          <cell r="CO170">
            <v>11167.2</v>
          </cell>
        </row>
        <row r="171">
          <cell r="A171" t="str">
            <v>SD_21.35X10.1_1_P3032KMA24B3_PHNXX2MH3P06A</v>
          </cell>
          <cell r="CJ171">
            <v>26659.781646503394</v>
          </cell>
          <cell r="CK171">
            <v>12263.49955739156</v>
          </cell>
          <cell r="CL171">
            <v>3556.419868791003</v>
          </cell>
          <cell r="CM171">
            <v>884.21052631578948</v>
          </cell>
          <cell r="CN171" t="str">
            <v>NA</v>
          </cell>
          <cell r="CO171">
            <v>11167.2</v>
          </cell>
        </row>
        <row r="172">
          <cell r="A172" t="str">
            <v>SD_21.35X10.1_1_P3032KED24B3_PHNXX2MH3P06A</v>
          </cell>
          <cell r="CJ172">
            <v>29588.839941262846</v>
          </cell>
          <cell r="CK172">
            <v>13610.86637298091</v>
          </cell>
          <cell r="CL172">
            <v>3687.5816993464055</v>
          </cell>
          <cell r="CM172">
            <v>884.21052631578948</v>
          </cell>
          <cell r="CN172">
            <v>330</v>
          </cell>
          <cell r="CO172">
            <v>11167.2</v>
          </cell>
        </row>
        <row r="173">
          <cell r="A173" t="str">
            <v>SD_21.35X10.1_1_P3065KED24B3_PHNXX2MH3P06A</v>
          </cell>
          <cell r="CJ173">
            <v>16566.716641679159</v>
          </cell>
          <cell r="CK173">
            <v>7620.6896551724139</v>
          </cell>
          <cell r="CL173">
            <v>2959.5580602105888</v>
          </cell>
          <cell r="CM173">
            <v>884.21052631578948</v>
          </cell>
          <cell r="CN173">
            <v>340</v>
          </cell>
          <cell r="CO173">
            <v>11167.2</v>
          </cell>
        </row>
        <row r="174">
          <cell r="A174" t="str">
            <v>SD_21.35X10.1_2_P3032KED24B3_PHNXX2MH3P06A</v>
          </cell>
          <cell r="CJ174">
            <v>15138.993238166791</v>
          </cell>
          <cell r="CK174">
            <v>6963.9368895567231</v>
          </cell>
          <cell r="CL174">
            <v>2312.2950819672133</v>
          </cell>
          <cell r="CM174">
            <v>646.15384615384608</v>
          </cell>
          <cell r="CN174" t="str">
            <v>NA</v>
          </cell>
          <cell r="CO174">
            <v>11167.2</v>
          </cell>
        </row>
        <row r="175">
          <cell r="A175" t="str">
            <v>SD_21.35X10.1_2_P3065KED24B3_PHNXX2MH3P06A</v>
          </cell>
          <cell r="CJ175">
            <v>8390.2809415337888</v>
          </cell>
          <cell r="CK175">
            <v>3859.5292331055434</v>
          </cell>
          <cell r="CL175">
            <v>1767.1389356238378</v>
          </cell>
          <cell r="CM175">
            <v>646.15384615384608</v>
          </cell>
          <cell r="CN175">
            <v>200</v>
          </cell>
          <cell r="CO175">
            <v>11167.2</v>
          </cell>
        </row>
        <row r="176">
          <cell r="A176" t="str">
            <v>SD_21.35X10.1_4_P3065KED24B3_PHNXX2MH3P06A</v>
          </cell>
          <cell r="CJ176">
            <v>4222.3920519679023</v>
          </cell>
          <cell r="CK176">
            <v>1942.3003439052352</v>
          </cell>
          <cell r="CL176">
            <v>978.58578924140636</v>
          </cell>
          <cell r="CM176">
            <v>419.99999999999994</v>
          </cell>
          <cell r="CN176">
            <v>130</v>
          </cell>
          <cell r="CO176">
            <v>11167.2</v>
          </cell>
        </row>
        <row r="177">
          <cell r="A177" t="str">
            <v>SD_21.35X10.1_8_P3065KED24B3_PHNXX2MH3P06A</v>
          </cell>
          <cell r="CJ177">
            <v>1103.1246880303484</v>
          </cell>
          <cell r="CK177">
            <v>614.98249844592874</v>
          </cell>
          <cell r="CL177">
            <v>207.65100671140942</v>
          </cell>
          <cell r="CM177">
            <v>75.675675675675677</v>
          </cell>
          <cell r="CN177" t="str">
            <v>NA</v>
          </cell>
          <cell r="CO177">
            <v>11167.2</v>
          </cell>
        </row>
        <row r="178">
          <cell r="A178" t="str">
            <v>SD_21.35X13.98_1_P3065KMH24B3_PHNXX2MR3P06A</v>
          </cell>
          <cell r="CJ178">
            <v>12778.505897771953</v>
          </cell>
          <cell r="CK178">
            <v>5878.1127129750985</v>
          </cell>
          <cell r="CL178">
            <v>2542.0095279341708</v>
          </cell>
          <cell r="CM178">
            <v>884.21052631578948</v>
          </cell>
          <cell r="CN178">
            <v>320</v>
          </cell>
          <cell r="CO178">
            <v>8121.6</v>
          </cell>
        </row>
        <row r="179">
          <cell r="A179" t="str">
            <v>SD_21.35X13.98_1_P3065KMA24B3_PHNXX2MH3P06A</v>
          </cell>
          <cell r="CJ179">
            <v>13225.320271288621</v>
          </cell>
          <cell r="CK179">
            <v>6083.6473247927652</v>
          </cell>
          <cell r="CL179">
            <v>2518.8985138679168</v>
          </cell>
          <cell r="CM179">
            <v>884.21052631578948</v>
          </cell>
          <cell r="CN179" t="str">
            <v>NA</v>
          </cell>
          <cell r="CO179">
            <v>8121.6</v>
          </cell>
        </row>
        <row r="180">
          <cell r="A180" t="str">
            <v>SD_21.35X13.98_1_P3032KMA32B3_CMBOX4ML3P09D</v>
          </cell>
          <cell r="CJ180">
            <v>17429.577464788734</v>
          </cell>
          <cell r="CK180">
            <v>8017.6056338028175</v>
          </cell>
          <cell r="CL180">
            <v>2896.8567725210628</v>
          </cell>
          <cell r="CM180">
            <v>884.21052631578948</v>
          </cell>
          <cell r="CN180">
            <v>295</v>
          </cell>
          <cell r="CO180">
            <v>8121.6</v>
          </cell>
        </row>
        <row r="181">
          <cell r="A181" t="str">
            <v>SD_21.35X13.98_1_P3032KMA32B3_CMBOX4ML3P09E</v>
          </cell>
          <cell r="CJ181">
            <v>17429.577464788734</v>
          </cell>
          <cell r="CK181">
            <v>8017.6056338028175</v>
          </cell>
          <cell r="CL181">
            <v>2896.8567725210628</v>
          </cell>
          <cell r="CM181">
            <v>884.21052631578948</v>
          </cell>
          <cell r="CN181">
            <v>295</v>
          </cell>
          <cell r="CO181">
            <v>8121.6</v>
          </cell>
        </row>
        <row r="182">
          <cell r="A182" t="str">
            <v>SD_21.35X13.98_1_P3032KMA43B3_CMBOX4UL3P09B</v>
          </cell>
          <cell r="CJ182">
            <v>11055.46218487395</v>
          </cell>
          <cell r="CK182">
            <v>5120.1832635475448</v>
          </cell>
          <cell r="CL182">
            <v>2141.7361957438829</v>
          </cell>
          <cell r="CM182">
            <v>843.24324324324323</v>
          </cell>
          <cell r="CN182" t="str">
            <v>NA</v>
          </cell>
          <cell r="CO182">
            <v>8121.6</v>
          </cell>
        </row>
        <row r="183">
          <cell r="A183" t="str">
            <v>SD_21.35X13.98_1_P3065KED32B3_PHNXX2MR3P06A</v>
          </cell>
          <cell r="CJ183">
            <v>11641.791044776119</v>
          </cell>
          <cell r="CK183">
            <v>5383.3736884584341</v>
          </cell>
          <cell r="CL183">
            <v>2390.9973521624006</v>
          </cell>
          <cell r="CM183">
            <v>843.24324324324323</v>
          </cell>
          <cell r="CN183">
            <v>265</v>
          </cell>
          <cell r="CO183">
            <v>8121.6</v>
          </cell>
        </row>
        <row r="184">
          <cell r="A184" t="str">
            <v>SD_21.35X13.98_1_P3065KED32B3_PHNXX2UX3P09A</v>
          </cell>
          <cell r="CJ184">
            <v>11555.555555555557</v>
          </cell>
          <cell r="CK184">
            <v>5350.2673796791441</v>
          </cell>
          <cell r="CL184">
            <v>2262.2129436325677</v>
          </cell>
          <cell r="CM184">
            <v>843.24324324324323</v>
          </cell>
          <cell r="CN184">
            <v>244.99999999999997</v>
          </cell>
          <cell r="CO184">
            <v>8121.6</v>
          </cell>
        </row>
        <row r="185">
          <cell r="A185" t="str">
            <v>SD_21.35X13.98_1_P3065KED32B3_PHNXX2UX3P09B</v>
          </cell>
          <cell r="CJ185">
            <v>11555.555555555557</v>
          </cell>
          <cell r="CK185">
            <v>5350.2673796791441</v>
          </cell>
          <cell r="CL185">
            <v>2262.2129436325677</v>
          </cell>
          <cell r="CM185">
            <v>843.24324324324323</v>
          </cell>
          <cell r="CN185">
            <v>244.99999999999997</v>
          </cell>
          <cell r="CO185">
            <v>8121.6</v>
          </cell>
        </row>
        <row r="186">
          <cell r="A186" t="str">
            <v>SD_21.35X13.98_2_P3065KMH24B3_PHNXX2MR3P06A</v>
          </cell>
          <cell r="CJ186">
            <v>6444.1506939854589</v>
          </cell>
          <cell r="CK186">
            <v>2964.3093192333113</v>
          </cell>
          <cell r="CL186">
            <v>1446.0458240946045</v>
          </cell>
          <cell r="CM186">
            <v>646.15384615384608</v>
          </cell>
          <cell r="CN186">
            <v>190</v>
          </cell>
          <cell r="CO186">
            <v>8121.6</v>
          </cell>
        </row>
        <row r="187">
          <cell r="A187" t="str">
            <v>SD_21.35X13.98_2_P3065KMA24B3_PHNXX2MH3P06A</v>
          </cell>
          <cell r="CJ187">
            <v>6680.6242862580893</v>
          </cell>
          <cell r="CK187">
            <v>3073.087171678721</v>
          </cell>
          <cell r="CL187">
            <v>1461.7580593091361</v>
          </cell>
          <cell r="CM187">
            <v>646.15384615384608</v>
          </cell>
          <cell r="CN187">
            <v>180</v>
          </cell>
          <cell r="CO187">
            <v>8121.6</v>
          </cell>
        </row>
        <row r="188">
          <cell r="A188" t="str">
            <v>SD_21.35X13.98_2_P3016KMA32B3_PHNXX2UX3P09B</v>
          </cell>
          <cell r="CJ188">
            <v>14634.146341463415</v>
          </cell>
          <cell r="CK188">
            <v>6731.7073170731701</v>
          </cell>
          <cell r="CL188">
            <v>2549.2537313432836</v>
          </cell>
          <cell r="CM188">
            <v>646.15384615384608</v>
          </cell>
          <cell r="CN188">
            <v>175</v>
          </cell>
          <cell r="CO188">
            <v>8121.6</v>
          </cell>
        </row>
        <row r="189">
          <cell r="A189" t="str">
            <v>SD_21.35X13.98_2_P3032KMA32B3_CMBOX4ML3P09D</v>
          </cell>
          <cell r="CJ189">
            <v>8855.0983899821094</v>
          </cell>
          <cell r="CK189">
            <v>4073.3452593917709</v>
          </cell>
          <cell r="CL189">
            <v>1784.0151666334064</v>
          </cell>
          <cell r="CM189">
            <v>646.15384615384608</v>
          </cell>
          <cell r="CN189">
            <v>180</v>
          </cell>
          <cell r="CO189">
            <v>8121.6</v>
          </cell>
        </row>
        <row r="190">
          <cell r="A190" t="str">
            <v>SD_21.35X13.98_2_P3032KMA32B3_CMBOX4ML3P09E</v>
          </cell>
          <cell r="CJ190">
            <v>8855.0983899821094</v>
          </cell>
          <cell r="CK190">
            <v>4073.3452593917709</v>
          </cell>
          <cell r="CL190">
            <v>1784.0151666334064</v>
          </cell>
          <cell r="CM190">
            <v>646.15384615384608</v>
          </cell>
          <cell r="CN190">
            <v>180</v>
          </cell>
          <cell r="CO190">
            <v>8121.6</v>
          </cell>
        </row>
        <row r="191">
          <cell r="A191" t="str">
            <v>SD_21.35X13.98_2_P3032KMA32B3_CMBOX4UL3P09B</v>
          </cell>
          <cell r="CJ191">
            <v>8855.0983899821094</v>
          </cell>
          <cell r="CK191">
            <v>4073.3452593917709</v>
          </cell>
          <cell r="CL191">
            <v>1784.0151666334064</v>
          </cell>
          <cell r="CM191">
            <v>646.15384615384608</v>
          </cell>
          <cell r="CN191" t="str">
            <v>NA</v>
          </cell>
          <cell r="CO191">
            <v>8121.6</v>
          </cell>
        </row>
        <row r="192">
          <cell r="A192" t="str">
            <v>SD_21.35X13.98_2_P3032KMA32B3_PHNXX2UX3P09B</v>
          </cell>
          <cell r="CJ192">
            <v>8866.995073891625</v>
          </cell>
          <cell r="CK192">
            <v>4078.8177339901481</v>
          </cell>
          <cell r="CL192">
            <v>1819.1382204812535</v>
          </cell>
          <cell r="CM192">
            <v>646.15384615384608</v>
          </cell>
          <cell r="CN192">
            <v>160</v>
          </cell>
          <cell r="CO192">
            <v>8121.6</v>
          </cell>
        </row>
        <row r="193">
          <cell r="A193" t="str">
            <v>SD_21.35X13.98_2_P3032KMA32B3_PHNXX2UX3P09A</v>
          </cell>
          <cell r="CJ193">
            <v>8747.663551401869</v>
          </cell>
          <cell r="CK193">
            <v>4043.7857864600878</v>
          </cell>
          <cell r="CL193">
            <v>1819.1382204812535</v>
          </cell>
          <cell r="CM193">
            <v>442.10526315789474</v>
          </cell>
          <cell r="CN193" t="str">
            <v>NA</v>
          </cell>
          <cell r="CO193">
            <v>8121.6</v>
          </cell>
        </row>
        <row r="194">
          <cell r="A194" t="str">
            <v>SD_21.35X13.98_2_P3065KED32B3_PHNXX2UX3P09B</v>
          </cell>
          <cell r="CJ194">
            <v>5886.7924528301892</v>
          </cell>
          <cell r="CK194">
            <v>2716.9042769857433</v>
          </cell>
          <cell r="CL194">
            <v>1307.1170084439084</v>
          </cell>
          <cell r="CM194">
            <v>624</v>
          </cell>
          <cell r="CN194">
            <v>160</v>
          </cell>
          <cell r="CO194">
            <v>8121.6</v>
          </cell>
        </row>
        <row r="195">
          <cell r="A195" t="str">
            <v>SD_21.35X13.98_4_P3065KMH24B3_PHNXX2MR3P06A</v>
          </cell>
          <cell r="CJ195">
            <v>3235.9774311317624</v>
          </cell>
          <cell r="CK195">
            <v>1488.5496183206108</v>
          </cell>
          <cell r="CL195">
            <v>776.49159941791243</v>
          </cell>
          <cell r="CM195">
            <v>419.99999999999994</v>
          </cell>
          <cell r="CN195">
            <v>110</v>
          </cell>
          <cell r="CO195">
            <v>8121.6</v>
          </cell>
        </row>
        <row r="196">
          <cell r="A196" t="str">
            <v>SD_21.35X13.98_4_P3065KMA24B3_PHNXX2MH3P06A</v>
          </cell>
          <cell r="CJ196">
            <v>3357.5664817294819</v>
          </cell>
          <cell r="CK196">
            <v>1544.4805815955615</v>
          </cell>
          <cell r="CL196">
            <v>794.70701802773112</v>
          </cell>
          <cell r="CM196">
            <v>419.99999999999994</v>
          </cell>
          <cell r="CN196">
            <v>60</v>
          </cell>
          <cell r="CO196">
            <v>8121.6</v>
          </cell>
        </row>
        <row r="197">
          <cell r="A197" t="str">
            <v>SD_21.35X13.98_4_P3016KMA32B3_PHNXX2UX3P09B</v>
          </cell>
          <cell r="CJ197">
            <v>7407.4074074074069</v>
          </cell>
          <cell r="CK197">
            <v>3407.4074074074074</v>
          </cell>
          <cell r="CL197">
            <v>1502.6392961876832</v>
          </cell>
          <cell r="CM197">
            <v>419.99999999999994</v>
          </cell>
          <cell r="CN197">
            <v>95</v>
          </cell>
          <cell r="CO197">
            <v>8121.6</v>
          </cell>
        </row>
        <row r="198">
          <cell r="A198" t="str">
            <v>SD_21.35X13.98_4_P3032KMA32B3_PHNXX2UX3P09B</v>
          </cell>
          <cell r="CJ198">
            <v>4466.501240694789</v>
          </cell>
          <cell r="CK198">
            <v>2054.590570719603</v>
          </cell>
          <cell r="CL198">
            <v>1020.0188264825856</v>
          </cell>
          <cell r="CM198">
            <v>419.99999999999994</v>
          </cell>
          <cell r="CN198">
            <v>90</v>
          </cell>
          <cell r="CO198">
            <v>8121.6</v>
          </cell>
        </row>
        <row r="199">
          <cell r="A199" t="str">
            <v>SD_21.35X13.98_4_P3065KED32B3_PHNXX2UX3P09B</v>
          </cell>
          <cell r="CJ199">
            <v>1552.2388059701493</v>
          </cell>
          <cell r="CK199">
            <v>865.67164179104486</v>
          </cell>
          <cell r="CL199">
            <v>443.30175913396482</v>
          </cell>
          <cell r="CM199">
            <v>410.52631578947364</v>
          </cell>
          <cell r="CN199">
            <v>95</v>
          </cell>
          <cell r="CO199">
            <v>8121.6</v>
          </cell>
        </row>
        <row r="200">
          <cell r="A200" t="str">
            <v>SD_21.35X13.98_8_P3032KMA32B3_PHNXX2UX3P09B</v>
          </cell>
          <cell r="CJ200">
            <v>1167.7229402664805</v>
          </cell>
          <cell r="CK200">
            <v>650.96104318594621</v>
          </cell>
          <cell r="CL200">
            <v>248.89967076763125</v>
          </cell>
          <cell r="CM200">
            <v>75.675675675675677</v>
          </cell>
          <cell r="CN200">
            <v>55</v>
          </cell>
          <cell r="CO200">
            <v>8121.6</v>
          </cell>
        </row>
        <row r="201">
          <cell r="A201" t="str">
            <v>SD_21.35X13.98_8_P3065KED32B3_PHNXX2MR3P06A</v>
          </cell>
          <cell r="CJ201">
            <v>778.44311377245504</v>
          </cell>
          <cell r="CK201">
            <v>434.1317365269461</v>
          </cell>
          <cell r="CL201">
            <v>176.96629213483146</v>
          </cell>
          <cell r="CM201">
            <v>75.362318840579704</v>
          </cell>
          <cell r="CN201">
            <v>85</v>
          </cell>
          <cell r="CO201">
            <v>8121.6</v>
          </cell>
        </row>
        <row r="202">
          <cell r="A202" t="str">
            <v>SD_21.35X13.98_8_P3065KMH24B3_PHNXX2MR3P06A</v>
          </cell>
          <cell r="CJ202">
            <v>844.04903808375889</v>
          </cell>
          <cell r="CK202">
            <v>470.60717787659615</v>
          </cell>
          <cell r="CL202">
            <v>175.75793046939015</v>
          </cell>
          <cell r="CM202">
            <v>75.675675675675677</v>
          </cell>
          <cell r="CN202">
            <v>55</v>
          </cell>
          <cell r="CO202">
            <v>8121.6</v>
          </cell>
        </row>
        <row r="203">
          <cell r="A203" t="str">
            <v>SD_21.35X13.98_8_P3065KMA24B3_PHNXX2MH3P06A</v>
          </cell>
          <cell r="CJ203">
            <v>876.31697208768173</v>
          </cell>
          <cell r="CK203">
            <v>488.5753459534248</v>
          </cell>
          <cell r="CL203">
            <v>198.09191077667296</v>
          </cell>
          <cell r="CM203">
            <v>75.675675675675677</v>
          </cell>
          <cell r="CN203">
            <v>60</v>
          </cell>
          <cell r="CO203">
            <v>8121.6</v>
          </cell>
        </row>
        <row r="204">
          <cell r="A204" t="str">
            <v>SD_21.35X13.98_8_P3065KED24B3_PHNXX2MR3P06A</v>
          </cell>
          <cell r="CJ204">
            <v>1103.3743617736534</v>
          </cell>
          <cell r="CK204">
            <v>615.15119731783443</v>
          </cell>
          <cell r="CL204">
            <v>208.28471411901984</v>
          </cell>
          <cell r="CM204">
            <v>75.675675675675677</v>
          </cell>
          <cell r="CN204">
            <v>55</v>
          </cell>
          <cell r="CO204">
            <v>8121.6</v>
          </cell>
        </row>
        <row r="205">
          <cell r="A205" t="str">
            <v>BINAA-MicroSD_11X15_1_P3016KMA32B3_PHNXX1UX3P09A</v>
          </cell>
          <cell r="CJ205">
            <v>390000</v>
          </cell>
          <cell r="CK205">
            <v>217500</v>
          </cell>
          <cell r="CL205">
            <v>10500</v>
          </cell>
          <cell r="CM205">
            <v>674.07407407407402</v>
          </cell>
          <cell r="CN205">
            <v>410</v>
          </cell>
          <cell r="CO205">
            <v>13536</v>
          </cell>
        </row>
        <row r="206">
          <cell r="A206" t="str">
            <v>BINAA-MicroSD_11X15_1_P3032KED32B3_PHNXX2MR3P06A</v>
          </cell>
          <cell r="CJ206">
            <v>390000</v>
          </cell>
          <cell r="CK206">
            <v>217500</v>
          </cell>
          <cell r="CL206">
            <v>10500</v>
          </cell>
          <cell r="CM206">
            <v>674.07407407407402</v>
          </cell>
          <cell r="CN206">
            <v>300</v>
          </cell>
          <cell r="CO206">
            <v>13536</v>
          </cell>
        </row>
        <row r="207">
          <cell r="A207" t="str">
            <v>BINAA-MicroSD_11X15_1_P3032KED32B3_PHNXX2UX3P09A</v>
          </cell>
          <cell r="CJ207">
            <v>312000</v>
          </cell>
          <cell r="CK207">
            <v>174000</v>
          </cell>
          <cell r="CL207">
            <v>8400</v>
          </cell>
          <cell r="CM207">
            <v>674.07407407407402</v>
          </cell>
          <cell r="CN207">
            <v>240</v>
          </cell>
          <cell r="CO207">
            <v>13536</v>
          </cell>
        </row>
        <row r="208">
          <cell r="A208" t="str">
            <v>BINAA-SD_21.35X10.1_1_P3016KMA32B3_PHNXX1UX3P09A</v>
          </cell>
          <cell r="CJ208">
            <v>750000</v>
          </cell>
          <cell r="CK208">
            <v>345000</v>
          </cell>
          <cell r="CL208">
            <v>10500</v>
          </cell>
          <cell r="CM208">
            <v>674.07407407407402</v>
          </cell>
          <cell r="CN208">
            <v>430</v>
          </cell>
          <cell r="CO208">
            <v>11167.2</v>
          </cell>
        </row>
        <row r="209">
          <cell r="A209" t="str">
            <v>BINAA-SD_21.35X13.98_1_P3032KMA32B3_CMBOX4ML3P09E</v>
          </cell>
          <cell r="CJ209">
            <v>550000</v>
          </cell>
          <cell r="CK209">
            <v>253000.00000000003</v>
          </cell>
          <cell r="CL209">
            <v>7699.9999999999982</v>
          </cell>
          <cell r="CM209">
            <v>674.07407407407402</v>
          </cell>
          <cell r="CN209">
            <v>295</v>
          </cell>
          <cell r="CO209">
            <v>11167.2</v>
          </cell>
        </row>
        <row r="210">
          <cell r="A210" t="str">
            <v>BINAA-SD_21.35X13.98_1_P3065KED32B3_PHNXX2UX3P09A</v>
          </cell>
          <cell r="CJ210">
            <v>312000</v>
          </cell>
          <cell r="CK210">
            <v>174000</v>
          </cell>
          <cell r="CL210">
            <v>8400</v>
          </cell>
          <cell r="CM210">
            <v>674.07407407407402</v>
          </cell>
          <cell r="CN210">
            <v>244.99999999999997</v>
          </cell>
          <cell r="CO210">
            <v>11167.2</v>
          </cell>
        </row>
        <row r="211">
          <cell r="A211" t="str">
            <v>BINAA-SD_21.35X13.98_1_P3065KMH24B3_PHNXX2MR3P06A</v>
          </cell>
          <cell r="CJ211">
            <v>750000</v>
          </cell>
          <cell r="CK211">
            <v>345000</v>
          </cell>
          <cell r="CL211">
            <v>10500</v>
          </cell>
          <cell r="CM211">
            <v>674.07407407407402</v>
          </cell>
          <cell r="CN211">
            <v>320</v>
          </cell>
          <cell r="CO211">
            <v>8121.6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PKG"/>
      <sheetName val="WaferPN"/>
      <sheetName val="CtrlPN"/>
      <sheetName val="SubStr"/>
      <sheetName val="BDPN"/>
      <sheetName val="NPI08"/>
      <sheetName val="wk_82"/>
      <sheetName val="Plan_82"/>
      <sheetName val="UPH_82"/>
      <sheetName val="WF_82"/>
      <sheetName val="Cap_82"/>
      <sheetName val="MU"/>
      <sheetName val="Sum_82"/>
      <sheetName val="LA_T"/>
      <sheetName val="T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 t="str">
            <v>PN</v>
          </cell>
          <cell r="D5">
            <v>82</v>
          </cell>
          <cell r="E5" t="str">
            <v>Wafer PN</v>
          </cell>
          <cell r="F5" t="str">
            <v>Die Size</v>
          </cell>
          <cell r="G5" t="str">
            <v>Controller PN</v>
          </cell>
          <cell r="H5" t="str">
            <v>Controller Size</v>
          </cell>
          <cell r="I5" t="str">
            <v>PKG Size</v>
          </cell>
          <cell r="J5" t="str">
            <v>NPI08</v>
          </cell>
          <cell r="K5" t="str">
            <v>Technology</v>
          </cell>
          <cell r="L5" t="str">
            <v>NM</v>
          </cell>
        </row>
        <row r="6">
          <cell r="C6" t="str">
            <v>54-62-06038-002G</v>
          </cell>
          <cell r="D6" t="str">
            <v>54-82-06038-002G</v>
          </cell>
          <cell r="E6" t="str">
            <v>54-81-00344</v>
          </cell>
          <cell r="F6" t="str">
            <v>11.045x7.826</v>
          </cell>
          <cell r="G6" t="str">
            <v>20-81-00277</v>
          </cell>
          <cell r="H6" t="str">
            <v>3.211X1.301</v>
          </cell>
          <cell r="I6" t="str">
            <v>21.35X10.1</v>
          </cell>
          <cell r="K6" t="str">
            <v>32nm 16Gb D2</v>
          </cell>
          <cell r="L6" t="str">
            <v>32</v>
          </cell>
        </row>
        <row r="7">
          <cell r="C7" t="str">
            <v>54-62-06060-002G</v>
          </cell>
          <cell r="D7" t="str">
            <v>54-82-06060-002G</v>
          </cell>
          <cell r="E7" t="str">
            <v>54-81-00396</v>
          </cell>
          <cell r="F7" t="str">
            <v>9.0X7.057</v>
          </cell>
          <cell r="G7" t="str">
            <v>20-81-00277</v>
          </cell>
          <cell r="H7" t="str">
            <v>3.211X1.301</v>
          </cell>
          <cell r="I7" t="str">
            <v>21.35X10.1</v>
          </cell>
          <cell r="K7" t="str">
            <v>32nm 16Gb EX3</v>
          </cell>
          <cell r="L7" t="str">
            <v>32</v>
          </cell>
        </row>
        <row r="8">
          <cell r="C8" t="str">
            <v>54-62-04697-002G</v>
          </cell>
          <cell r="D8" t="str">
            <v>54-82-04697-002G</v>
          </cell>
          <cell r="E8" t="str">
            <v>54-81-00450</v>
          </cell>
          <cell r="F8" t="str">
            <v>11.045x7.826</v>
          </cell>
          <cell r="G8" t="str">
            <v>20-81-00251</v>
          </cell>
          <cell r="H8" t="str">
            <v>2.372x2.243</v>
          </cell>
          <cell r="I8" t="str">
            <v>21.35X10.1</v>
          </cell>
          <cell r="J8" t="e">
            <v>#N/A</v>
          </cell>
          <cell r="K8" t="str">
            <v>32nm 16Gb D2</v>
          </cell>
          <cell r="L8" t="str">
            <v>32</v>
          </cell>
        </row>
        <row r="9">
          <cell r="C9" t="str">
            <v>54-62-04550-002G</v>
          </cell>
          <cell r="D9" t="str">
            <v>54-82-04550-002G</v>
          </cell>
          <cell r="E9" t="str">
            <v>54-81-00450</v>
          </cell>
          <cell r="F9" t="str">
            <v>11.045x7.826</v>
          </cell>
          <cell r="G9" t="str">
            <v>20-81-00143</v>
          </cell>
          <cell r="H9" t="str">
            <v>1.814x1.880</v>
          </cell>
          <cell r="I9" t="str">
            <v>21.35X10.1</v>
          </cell>
          <cell r="K9" t="str">
            <v>32nm 16Gb D2</v>
          </cell>
          <cell r="L9" t="str">
            <v>32</v>
          </cell>
        </row>
        <row r="10">
          <cell r="C10" t="str">
            <v>54-62-06039-002G</v>
          </cell>
          <cell r="D10" t="str">
            <v>54-82-06039-002G</v>
          </cell>
          <cell r="E10" t="str">
            <v>54-81-00450</v>
          </cell>
          <cell r="F10" t="str">
            <v>11.045x7.826</v>
          </cell>
          <cell r="G10" t="str">
            <v>20-81-00135</v>
          </cell>
          <cell r="H10" t="str">
            <v>2.485X2.39</v>
          </cell>
          <cell r="I10" t="str">
            <v>21.35X10.1</v>
          </cell>
          <cell r="K10" t="str">
            <v>32nm 16Gb D2</v>
          </cell>
          <cell r="L10" t="str">
            <v>32</v>
          </cell>
        </row>
        <row r="11">
          <cell r="C11" t="str">
            <v>54-62-04574-002G</v>
          </cell>
          <cell r="D11" t="str">
            <v>54-82-04574-002G</v>
          </cell>
          <cell r="E11" t="str">
            <v>54-81-00324</v>
          </cell>
          <cell r="F11" t="str">
            <v>12.910x7.783</v>
          </cell>
          <cell r="G11" t="str">
            <v>20-81-00118</v>
          </cell>
          <cell r="H11" t="str">
            <v>2.485X2.39</v>
          </cell>
          <cell r="I11" t="str">
            <v>21.35X10.1</v>
          </cell>
          <cell r="K11" t="str">
            <v>43nm 16Gb D3</v>
          </cell>
          <cell r="L11" t="str">
            <v>43</v>
          </cell>
        </row>
        <row r="12">
          <cell r="C12" t="str">
            <v>54-62-06724-002G</v>
          </cell>
          <cell r="D12" t="str">
            <v>54-82-06724-002G</v>
          </cell>
          <cell r="E12" t="str">
            <v>54-81-00344</v>
          </cell>
          <cell r="F12" t="str">
            <v>11.045x7.826</v>
          </cell>
          <cell r="G12" t="str">
            <v>20-81-00251</v>
          </cell>
          <cell r="H12" t="str">
            <v>2.372x2.243</v>
          </cell>
          <cell r="I12" t="str">
            <v>21.35X10.1</v>
          </cell>
          <cell r="K12" t="str">
            <v>32nm 16Gb D2</v>
          </cell>
          <cell r="L12" t="str">
            <v>32</v>
          </cell>
        </row>
        <row r="13">
          <cell r="C13" t="str">
            <v>54-62-05646-002G</v>
          </cell>
          <cell r="D13" t="str">
            <v>54-82-05646-002G</v>
          </cell>
          <cell r="E13" t="str">
            <v>54-81-00344</v>
          </cell>
          <cell r="F13" t="str">
            <v>11.045x7.826</v>
          </cell>
          <cell r="G13" t="str">
            <v>20-81-00118</v>
          </cell>
          <cell r="H13" t="str">
            <v>2.485X2.39</v>
          </cell>
          <cell r="I13" t="str">
            <v>21.35X10.1</v>
          </cell>
          <cell r="K13" t="str">
            <v>32nm 16Gb D2</v>
          </cell>
          <cell r="L13" t="str">
            <v>32</v>
          </cell>
        </row>
        <row r="14">
          <cell r="C14" t="str">
            <v>54-62-08140-004G</v>
          </cell>
          <cell r="D14" t="str">
            <v>54-82-08140-004G</v>
          </cell>
          <cell r="E14" t="str">
            <v>54-81-00400</v>
          </cell>
          <cell r="F14" t="str">
            <v>10.408x8.281</v>
          </cell>
          <cell r="G14" t="str">
            <v>20-81-00303</v>
          </cell>
          <cell r="H14" t="str">
            <v>3.456x1.361</v>
          </cell>
          <cell r="I14" t="str">
            <v>21.35X10.1</v>
          </cell>
          <cell r="K14" t="str">
            <v>24nm 32Gb D2</v>
          </cell>
          <cell r="L14" t="str">
            <v>24</v>
          </cell>
        </row>
        <row r="15">
          <cell r="C15" t="str">
            <v>54-62-08213-004G</v>
          </cell>
          <cell r="D15" t="str">
            <v>54-82-08213-004G</v>
          </cell>
          <cell r="E15" t="str">
            <v>54-81-00464</v>
          </cell>
          <cell r="F15" t="str">
            <v>9.780x7.340</v>
          </cell>
          <cell r="G15" t="str">
            <v>20-81-00303</v>
          </cell>
          <cell r="H15" t="str">
            <v>3.456x1.361</v>
          </cell>
          <cell r="I15" t="str">
            <v>21.35X10.1</v>
          </cell>
          <cell r="K15" t="str">
            <v>24nm 32Gb EX3</v>
          </cell>
          <cell r="L15" t="str">
            <v>24</v>
          </cell>
        </row>
        <row r="16">
          <cell r="C16" t="str">
            <v>54-62-06767-004G</v>
          </cell>
          <cell r="D16" t="str">
            <v>54-82-06767-004G</v>
          </cell>
          <cell r="E16" t="str">
            <v>54-81-00374</v>
          </cell>
          <cell r="F16" t="str">
            <v>11.045x7.826</v>
          </cell>
          <cell r="G16" t="str">
            <v>20-81-00251</v>
          </cell>
          <cell r="H16" t="str">
            <v>2.372x2.243</v>
          </cell>
          <cell r="I16" t="str">
            <v>21.35X13.98</v>
          </cell>
          <cell r="K16" t="str">
            <v>32nm 16Gb D2</v>
          </cell>
          <cell r="L16" t="str">
            <v>32</v>
          </cell>
        </row>
        <row r="17">
          <cell r="C17" t="str">
            <v>54-62-06538-004G</v>
          </cell>
          <cell r="D17" t="str">
            <v>54-82-06538-004G</v>
          </cell>
          <cell r="E17" t="str">
            <v>54-81-00471</v>
          </cell>
          <cell r="F17" t="str">
            <v>12.218X9.0</v>
          </cell>
          <cell r="G17" t="str">
            <v>20-81-00277</v>
          </cell>
          <cell r="H17" t="str">
            <v>3.211X1.301</v>
          </cell>
          <cell r="I17" t="str">
            <v>21.35X10.1</v>
          </cell>
          <cell r="K17" t="str">
            <v>32nm 32Gb EX3</v>
          </cell>
          <cell r="L17" t="str">
            <v>32</v>
          </cell>
        </row>
        <row r="18">
          <cell r="C18" t="str">
            <v>54-62-06757-004G</v>
          </cell>
          <cell r="D18" t="str">
            <v>54-82-06757-004G</v>
          </cell>
          <cell r="E18" t="str">
            <v>54-81-00374</v>
          </cell>
          <cell r="F18" t="str">
            <v>11.045x7.826</v>
          </cell>
          <cell r="G18" t="str">
            <v>20-81-00124</v>
          </cell>
          <cell r="H18" t="str">
            <v>2.416X2.606</v>
          </cell>
          <cell r="I18" t="str">
            <v>21.35X10.1</v>
          </cell>
          <cell r="K18" t="str">
            <v>32nm 16Gb D2</v>
          </cell>
          <cell r="L18" t="str">
            <v>32</v>
          </cell>
        </row>
        <row r="19">
          <cell r="C19" t="str">
            <v>54-62-05887-004G</v>
          </cell>
          <cell r="D19" t="str">
            <v>54-82-05887-004G</v>
          </cell>
          <cell r="E19" t="str">
            <v>54-81-00450</v>
          </cell>
          <cell r="F19" t="str">
            <v>11.045x7.826</v>
          </cell>
          <cell r="G19" t="str">
            <v>20-81-00251</v>
          </cell>
          <cell r="H19" t="str">
            <v>2.372x2.243</v>
          </cell>
          <cell r="I19" t="str">
            <v>21.35X10.1</v>
          </cell>
          <cell r="J19" t="e">
            <v>#N/A</v>
          </cell>
          <cell r="K19" t="str">
            <v>32nm 16Gb D2</v>
          </cell>
          <cell r="L19" t="str">
            <v>32</v>
          </cell>
        </row>
        <row r="20">
          <cell r="C20" t="str">
            <v>54-62-05829-004G</v>
          </cell>
          <cell r="D20" t="str">
            <v>54-82-05829-004G</v>
          </cell>
          <cell r="E20" t="str">
            <v>54-81-00354</v>
          </cell>
          <cell r="F20" t="str">
            <v>12.218X9.0</v>
          </cell>
          <cell r="G20" t="str">
            <v>20-81-00251</v>
          </cell>
          <cell r="H20" t="str">
            <v>2.372x2.243</v>
          </cell>
          <cell r="I20" t="str">
            <v>21.35X10.1</v>
          </cell>
          <cell r="K20" t="str">
            <v>32nm 32Gb EX3</v>
          </cell>
          <cell r="L20" t="str">
            <v>32</v>
          </cell>
        </row>
        <row r="21">
          <cell r="C21" t="str">
            <v>54-62-05848-004G</v>
          </cell>
          <cell r="D21" t="str">
            <v>54-82-05848-004G</v>
          </cell>
          <cell r="E21" t="str">
            <v>54-81-00382</v>
          </cell>
          <cell r="F21" t="str">
            <v>12.247X9.215</v>
          </cell>
          <cell r="G21" t="str">
            <v>20-81-00276</v>
          </cell>
          <cell r="H21" t="str">
            <v>3.592X1.845</v>
          </cell>
          <cell r="I21" t="str">
            <v>21.35X10.1</v>
          </cell>
          <cell r="K21" t="str">
            <v>32nm 32Gb D3</v>
          </cell>
          <cell r="L21" t="str">
            <v>32</v>
          </cell>
        </row>
        <row r="22">
          <cell r="C22" t="str">
            <v>54-62-05728-004G</v>
          </cell>
          <cell r="D22" t="str">
            <v>54-82-05728-004G</v>
          </cell>
          <cell r="E22" t="str">
            <v>54-81-00382</v>
          </cell>
          <cell r="F22" t="str">
            <v>12.247X9.215</v>
          </cell>
          <cell r="G22" t="str">
            <v>20-81-00252</v>
          </cell>
          <cell r="H22" t="str">
            <v>3.592X1.845</v>
          </cell>
          <cell r="I22" t="str">
            <v>21.35X10.1</v>
          </cell>
          <cell r="K22" t="str">
            <v>32nm 32Gb D3</v>
          </cell>
          <cell r="L22" t="str">
            <v>32</v>
          </cell>
        </row>
        <row r="23">
          <cell r="C23" t="str">
            <v>54-82-06161-004G</v>
          </cell>
          <cell r="D23" t="str">
            <v>54-82-06161-004G</v>
          </cell>
          <cell r="E23" t="str">
            <v>54-81-00367</v>
          </cell>
          <cell r="F23" t="str">
            <v>12.960x10.777</v>
          </cell>
          <cell r="G23" t="str">
            <v>20-81-00118</v>
          </cell>
          <cell r="H23" t="str">
            <v>2.485X2.39</v>
          </cell>
          <cell r="I23" t="str">
            <v>21.35X13.98</v>
          </cell>
          <cell r="K23" t="str">
            <v>32nm 32Gb D2</v>
          </cell>
          <cell r="L23" t="str">
            <v>32</v>
          </cell>
        </row>
        <row r="24">
          <cell r="C24" t="str">
            <v>54-82-06160-004G</v>
          </cell>
          <cell r="D24" t="str">
            <v>54-82-06160-004G</v>
          </cell>
          <cell r="E24" t="str">
            <v>54-81-00343</v>
          </cell>
          <cell r="F24" t="str">
            <v>12.960x10.777</v>
          </cell>
          <cell r="G24" t="str">
            <v>20-81-00118</v>
          </cell>
          <cell r="H24" t="str">
            <v>2.485X2.39</v>
          </cell>
          <cell r="I24" t="str">
            <v>21.35X13.98</v>
          </cell>
          <cell r="K24" t="str">
            <v>32nm 32Gb D2</v>
          </cell>
          <cell r="L24" t="str">
            <v>32</v>
          </cell>
        </row>
        <row r="25">
          <cell r="C25" t="str">
            <v>54-82-05701-004G</v>
          </cell>
          <cell r="D25" t="str">
            <v>54-82-05701-004G</v>
          </cell>
          <cell r="E25" t="str">
            <v>54-81-00343</v>
          </cell>
          <cell r="F25" t="str">
            <v>12.960x10.777</v>
          </cell>
          <cell r="G25" t="str">
            <v>20-81-00118</v>
          </cell>
          <cell r="H25" t="str">
            <v>2.485X2.39</v>
          </cell>
          <cell r="I25" t="str">
            <v>21.35X13.98</v>
          </cell>
          <cell r="K25" t="str">
            <v>32nm 32Gb D2</v>
          </cell>
          <cell r="L25" t="str">
            <v>32</v>
          </cell>
        </row>
        <row r="26">
          <cell r="C26" t="str">
            <v>54-62-04429-004G</v>
          </cell>
          <cell r="D26" t="str">
            <v>54-82-04429-004G</v>
          </cell>
          <cell r="E26" t="str">
            <v>54-81-00343</v>
          </cell>
          <cell r="F26" t="str">
            <v>12.960x10.777</v>
          </cell>
          <cell r="G26" t="str">
            <v>20-81-00118</v>
          </cell>
          <cell r="H26" t="str">
            <v>2.485X2.39</v>
          </cell>
          <cell r="I26" t="str">
            <v>21.35X13.98</v>
          </cell>
          <cell r="K26" t="str">
            <v>32nm 32Gb D2</v>
          </cell>
          <cell r="L26" t="str">
            <v>32</v>
          </cell>
        </row>
        <row r="27">
          <cell r="C27" t="str">
            <v>54-62-05600-004G</v>
          </cell>
          <cell r="D27" t="str">
            <v>54-82-05600-004G</v>
          </cell>
          <cell r="E27" t="str">
            <v>54-81-00382</v>
          </cell>
          <cell r="F27" t="str">
            <v>12.247X9.215</v>
          </cell>
          <cell r="G27" t="str">
            <v>20-81-00252</v>
          </cell>
          <cell r="H27" t="str">
            <v>3.592X1.845</v>
          </cell>
          <cell r="I27" t="str">
            <v>21.35X10.1</v>
          </cell>
          <cell r="K27" t="str">
            <v>32nm 32Gb D3</v>
          </cell>
          <cell r="L27" t="str">
            <v>32</v>
          </cell>
        </row>
        <row r="28">
          <cell r="C28" t="str">
            <v>54-62-04314-004G</v>
          </cell>
          <cell r="D28" t="str">
            <v>54-82-04314-004G</v>
          </cell>
          <cell r="E28" t="str">
            <v>54-81-00380</v>
          </cell>
          <cell r="F28" t="str">
            <v>12.247X9.215</v>
          </cell>
          <cell r="G28" t="str">
            <v>20-81-00252</v>
          </cell>
          <cell r="H28" t="str">
            <v>3.592X1.845</v>
          </cell>
          <cell r="I28" t="str">
            <v>21.35X10.1</v>
          </cell>
          <cell r="K28" t="str">
            <v>32nm 32Gb D3</v>
          </cell>
          <cell r="L28" t="str">
            <v>32</v>
          </cell>
        </row>
        <row r="29">
          <cell r="C29" t="str">
            <v>54-82-04614-004G</v>
          </cell>
          <cell r="D29" t="str">
            <v>54-82-04614-004G</v>
          </cell>
          <cell r="E29" t="str">
            <v>54-81-00356</v>
          </cell>
          <cell r="F29" t="str">
            <v>12.960x10.777</v>
          </cell>
          <cell r="G29" t="str">
            <v>20-81-00118</v>
          </cell>
          <cell r="H29" t="str">
            <v>2.485X2.39</v>
          </cell>
          <cell r="I29" t="str">
            <v>21.35X13.98</v>
          </cell>
          <cell r="K29" t="str">
            <v>32nm 32Gb D2</v>
          </cell>
          <cell r="L29" t="str">
            <v>32</v>
          </cell>
        </row>
        <row r="30">
          <cell r="C30" t="str">
            <v>54-82-04463-004G</v>
          </cell>
          <cell r="D30" t="str">
            <v>54-82-04463-004G</v>
          </cell>
          <cell r="E30" t="str">
            <v>54-81-00356</v>
          </cell>
          <cell r="F30" t="str">
            <v>12.960x10.777</v>
          </cell>
          <cell r="G30" t="str">
            <v>20-81-00124</v>
          </cell>
          <cell r="H30" t="str">
            <v>2.416X2.606</v>
          </cell>
          <cell r="I30" t="str">
            <v>21.35X13.98</v>
          </cell>
          <cell r="K30" t="str">
            <v>32nm 32Gb D2</v>
          </cell>
          <cell r="L30" t="str">
            <v>32</v>
          </cell>
        </row>
        <row r="31">
          <cell r="C31" t="str">
            <v>54-62-08547-008G</v>
          </cell>
          <cell r="D31" t="str">
            <v>54-82-08547-008G</v>
          </cell>
          <cell r="E31" t="str">
            <v>54-81-00412</v>
          </cell>
          <cell r="F31" t="str">
            <v>9.573x15.741</v>
          </cell>
          <cell r="G31" t="str">
            <v>20-81-00277</v>
          </cell>
          <cell r="H31" t="str">
            <v>3.211X1.301</v>
          </cell>
          <cell r="I31" t="str">
            <v>21.35X13.98</v>
          </cell>
          <cell r="K31" t="str">
            <v>24nm 64Gb D2H</v>
          </cell>
          <cell r="L31" t="str">
            <v>24</v>
          </cell>
        </row>
        <row r="32">
          <cell r="C32" t="str">
            <v>54-62-08510-008G</v>
          </cell>
          <cell r="D32" t="str">
            <v>54-82-08510-008G</v>
          </cell>
          <cell r="E32" t="str">
            <v>54-81-00406</v>
          </cell>
          <cell r="F32" t="str">
            <v>9.573x15.741</v>
          </cell>
          <cell r="G32" t="str">
            <v>20-81-00277</v>
          </cell>
          <cell r="H32" t="str">
            <v>3.211X1.301</v>
          </cell>
          <cell r="I32" t="str">
            <v>21.35X13.98</v>
          </cell>
          <cell r="K32" t="str">
            <v>24nm 64Gb D2H</v>
          </cell>
          <cell r="L32" t="str">
            <v>24</v>
          </cell>
        </row>
        <row r="33">
          <cell r="C33" t="str">
            <v>54-62-08338-008G</v>
          </cell>
          <cell r="D33" t="str">
            <v>54-82-08338-008G</v>
          </cell>
          <cell r="E33" t="str">
            <v>54-81-00406</v>
          </cell>
          <cell r="F33" t="str">
            <v>9.573x15.741</v>
          </cell>
          <cell r="G33" t="str">
            <v>20-81-00277</v>
          </cell>
          <cell r="H33" t="str">
            <v>3.211X1.301</v>
          </cell>
          <cell r="I33" t="str">
            <v>21.35X13.98</v>
          </cell>
          <cell r="K33" t="str">
            <v>24nm 64Gb D2H</v>
          </cell>
          <cell r="L33" t="str">
            <v>24</v>
          </cell>
        </row>
        <row r="34">
          <cell r="C34" t="str">
            <v>54-62-08350-008G</v>
          </cell>
          <cell r="D34" t="str">
            <v>54-82-08350-008G</v>
          </cell>
          <cell r="E34" t="str">
            <v>54-81-00406</v>
          </cell>
          <cell r="F34" t="str">
            <v>9.573x15.741</v>
          </cell>
          <cell r="G34" t="str">
            <v>20-81-00277</v>
          </cell>
          <cell r="H34" t="str">
            <v>3.211X1.301</v>
          </cell>
          <cell r="I34" t="str">
            <v>21.35X13.98</v>
          </cell>
          <cell r="K34" t="str">
            <v>24nm 64Gb D2H</v>
          </cell>
          <cell r="L34" t="str">
            <v>24</v>
          </cell>
        </row>
        <row r="35">
          <cell r="C35" t="str">
            <v>54-62-06920-008G</v>
          </cell>
          <cell r="D35" t="str">
            <v>54-82-06920-008G</v>
          </cell>
          <cell r="E35" t="str">
            <v>54-81-00406</v>
          </cell>
          <cell r="F35" t="str">
            <v>9.573x15.741</v>
          </cell>
          <cell r="G35" t="str">
            <v>20-81-00277</v>
          </cell>
          <cell r="H35" t="str">
            <v>3.211X1.301</v>
          </cell>
          <cell r="I35" t="str">
            <v>21.35X13.98</v>
          </cell>
          <cell r="K35" t="str">
            <v>24nm 64Gb D2H</v>
          </cell>
          <cell r="L35" t="str">
            <v>24</v>
          </cell>
        </row>
        <row r="36">
          <cell r="C36" t="str">
            <v>54-62-06921-008G</v>
          </cell>
          <cell r="D36" t="str">
            <v>54-82-06921-008G</v>
          </cell>
          <cell r="E36" t="str">
            <v>54-81-00406</v>
          </cell>
          <cell r="F36" t="str">
            <v>9.573x15.741</v>
          </cell>
          <cell r="G36" t="str">
            <v>20-81-00277</v>
          </cell>
          <cell r="H36" t="str">
            <v>3.211X1.301</v>
          </cell>
          <cell r="I36" t="str">
            <v>21.35X13.98</v>
          </cell>
          <cell r="K36" t="str">
            <v>24nm 64Gb D2H</v>
          </cell>
          <cell r="L36" t="str">
            <v>24</v>
          </cell>
        </row>
        <row r="37">
          <cell r="C37" t="str">
            <v>54-62-08211-008G</v>
          </cell>
          <cell r="D37" t="str">
            <v>54-82-08211-008G</v>
          </cell>
          <cell r="E37" t="str">
            <v>54-81-00465</v>
          </cell>
          <cell r="F37" t="str">
            <v>12.590x9.440</v>
          </cell>
          <cell r="G37" t="str">
            <v>20-81-00303</v>
          </cell>
          <cell r="H37" t="str">
            <v>3.456x1.361</v>
          </cell>
          <cell r="I37" t="str">
            <v>21.35X10.1</v>
          </cell>
          <cell r="K37" t="str">
            <v>24nm 64Gb EX3</v>
          </cell>
          <cell r="L37" t="str">
            <v>24</v>
          </cell>
        </row>
        <row r="38">
          <cell r="C38" t="str">
            <v>54-62-05890-008G</v>
          </cell>
          <cell r="D38" t="str">
            <v>54-82-05890-008G</v>
          </cell>
          <cell r="E38" t="str">
            <v>54-81-00474</v>
          </cell>
          <cell r="F38" t="str">
            <v>10.970x17.700</v>
          </cell>
          <cell r="G38" t="str">
            <v>20-81-00277</v>
          </cell>
          <cell r="H38" t="str">
            <v>3.211X1.301</v>
          </cell>
          <cell r="I38" t="str">
            <v>21.35X13.98</v>
          </cell>
          <cell r="K38" t="str">
            <v>32nm 64Gb EX3</v>
          </cell>
          <cell r="L38" t="str">
            <v>32</v>
          </cell>
        </row>
        <row r="39">
          <cell r="C39" t="str">
            <v>54-62-08213-008G</v>
          </cell>
          <cell r="D39" t="str">
            <v>54-82-08213-008G</v>
          </cell>
          <cell r="E39" t="str">
            <v>54-81-00464</v>
          </cell>
          <cell r="F39" t="str">
            <v>9.780x7.340</v>
          </cell>
          <cell r="G39" t="str">
            <v>20-81-00303</v>
          </cell>
          <cell r="H39" t="str">
            <v>3.456x1.361</v>
          </cell>
          <cell r="I39" t="str">
            <v>21.35X10.1</v>
          </cell>
          <cell r="K39" t="str">
            <v>24nm 32Gb EX3</v>
          </cell>
          <cell r="L39" t="str">
            <v>24</v>
          </cell>
        </row>
        <row r="40">
          <cell r="C40" t="str">
            <v>54-62-06646-008G</v>
          </cell>
          <cell r="D40" t="str">
            <v>54-82-06646-008G</v>
          </cell>
          <cell r="E40" t="str">
            <v>54-81-00359</v>
          </cell>
          <cell r="F40" t="str">
            <v>12.960x10.777</v>
          </cell>
          <cell r="G40" t="str">
            <v>20-81-00251</v>
          </cell>
          <cell r="H40" t="str">
            <v>2.372x2.243</v>
          </cell>
          <cell r="I40" t="str">
            <v>21.35X13.98</v>
          </cell>
          <cell r="K40" t="str">
            <v>32nm 32Gb D2</v>
          </cell>
          <cell r="L40" t="str">
            <v>32</v>
          </cell>
        </row>
        <row r="41">
          <cell r="C41" t="str">
            <v>54-82-06767-008G</v>
          </cell>
          <cell r="D41" t="str">
            <v>54-82-06767-008G</v>
          </cell>
          <cell r="E41" t="str">
            <v>54-81-00374</v>
          </cell>
          <cell r="F41" t="str">
            <v>11.045x7.826</v>
          </cell>
          <cell r="G41" t="str">
            <v>20-81-00251</v>
          </cell>
          <cell r="H41" t="str">
            <v>2.372x2.243</v>
          </cell>
          <cell r="I41" t="str">
            <v>21.35X13.98</v>
          </cell>
          <cell r="K41" t="str">
            <v>32nm 16Gb D2</v>
          </cell>
          <cell r="L41" t="str">
            <v>32</v>
          </cell>
        </row>
        <row r="42">
          <cell r="C42" t="str">
            <v>54-82-05839-008G</v>
          </cell>
          <cell r="D42" t="str">
            <v>54-82-05839-008G</v>
          </cell>
          <cell r="E42" t="str">
            <v>54-81-00374</v>
          </cell>
          <cell r="F42" t="str">
            <v>11.045x7.826</v>
          </cell>
          <cell r="G42" t="str">
            <v>20-81-00251</v>
          </cell>
          <cell r="H42" t="str">
            <v>2.372x2.243</v>
          </cell>
          <cell r="I42" t="str">
            <v>21.35X10.1</v>
          </cell>
          <cell r="K42" t="str">
            <v>32nm 16Gb D2</v>
          </cell>
          <cell r="L42" t="str">
            <v>32</v>
          </cell>
        </row>
        <row r="43">
          <cell r="C43" t="str">
            <v>54-62-06027-008G</v>
          </cell>
          <cell r="D43" t="str">
            <v>54-82-06027-008G</v>
          </cell>
          <cell r="E43" t="str">
            <v>54-81-00341</v>
          </cell>
          <cell r="F43" t="str">
            <v>10.970x17.700</v>
          </cell>
          <cell r="G43" t="str">
            <v>20-81-00251</v>
          </cell>
          <cell r="H43" t="str">
            <v>2.372x2.243</v>
          </cell>
          <cell r="I43" t="str">
            <v>21.35X13.98</v>
          </cell>
          <cell r="K43" t="str">
            <v>32nm 64Gb EX3</v>
          </cell>
          <cell r="L43" t="str">
            <v>32</v>
          </cell>
        </row>
        <row r="44">
          <cell r="C44" t="str">
            <v>54-62-05837-008G</v>
          </cell>
          <cell r="D44" t="str">
            <v>54-82-05837-008G</v>
          </cell>
          <cell r="E44" t="str">
            <v>54-81-00341</v>
          </cell>
          <cell r="F44" t="str">
            <v>10.970x17.700</v>
          </cell>
          <cell r="G44" t="str">
            <v>20-81-00251</v>
          </cell>
          <cell r="H44" t="str">
            <v>2.372x2.243</v>
          </cell>
          <cell r="I44" t="str">
            <v>21.35X13.98</v>
          </cell>
          <cell r="J44" t="e">
            <v>#N/A</v>
          </cell>
          <cell r="K44" t="str">
            <v>32nm 64Gb EX3</v>
          </cell>
          <cell r="L44" t="str">
            <v>32</v>
          </cell>
        </row>
        <row r="45">
          <cell r="C45" t="str">
            <v>54-62-05848-008G</v>
          </cell>
          <cell r="D45" t="str">
            <v>54-82-05848-008G</v>
          </cell>
          <cell r="E45" t="str">
            <v>54-81-00380</v>
          </cell>
          <cell r="F45" t="str">
            <v>12.247X9.215</v>
          </cell>
          <cell r="G45" t="str">
            <v>20-81-00276</v>
          </cell>
          <cell r="H45" t="str">
            <v>3.592X1.845</v>
          </cell>
          <cell r="I45" t="str">
            <v>21.35X10.1</v>
          </cell>
          <cell r="K45" t="str">
            <v>32nm 32Gb D3</v>
          </cell>
          <cell r="L45" t="str">
            <v>32</v>
          </cell>
        </row>
        <row r="46">
          <cell r="C46" t="str">
            <v>54-62-05600-008G</v>
          </cell>
          <cell r="D46" t="str">
            <v>54-82-05600-008G</v>
          </cell>
          <cell r="E46" t="str">
            <v>54-81-00382</v>
          </cell>
          <cell r="F46" t="str">
            <v>12.247X9.215</v>
          </cell>
          <cell r="G46" t="str">
            <v>20-81-00252</v>
          </cell>
          <cell r="H46" t="str">
            <v>3.592X1.845</v>
          </cell>
          <cell r="I46" t="str">
            <v>21.35X10.1</v>
          </cell>
          <cell r="K46" t="str">
            <v>32nm 32Gb D3</v>
          </cell>
          <cell r="L46" t="str">
            <v>32</v>
          </cell>
        </row>
        <row r="47">
          <cell r="C47" t="str">
            <v>54-62-04314-008G</v>
          </cell>
          <cell r="D47" t="str">
            <v>54-82-04314-008G</v>
          </cell>
          <cell r="E47" t="str">
            <v>54-81-00382</v>
          </cell>
          <cell r="F47" t="str">
            <v>12.247X9.215</v>
          </cell>
          <cell r="G47" t="str">
            <v>20-81-00252</v>
          </cell>
          <cell r="H47" t="str">
            <v>3.592X1.845</v>
          </cell>
          <cell r="I47" t="str">
            <v>21.35X10.1</v>
          </cell>
          <cell r="K47" t="str">
            <v>32nm 32Gb D3</v>
          </cell>
          <cell r="L47" t="str">
            <v>32</v>
          </cell>
        </row>
        <row r="48">
          <cell r="C48" t="str">
            <v>54-62-06641-008G</v>
          </cell>
          <cell r="D48" t="str">
            <v>54-82-06641-008G</v>
          </cell>
          <cell r="E48" t="str">
            <v>54-81-00389</v>
          </cell>
          <cell r="F48" t="str">
            <v>12.960x10.777</v>
          </cell>
          <cell r="G48" t="str">
            <v>20-81-00124</v>
          </cell>
          <cell r="H48" t="str">
            <v>2.416X2.606</v>
          </cell>
          <cell r="I48" t="str">
            <v>21.35X13.98</v>
          </cell>
          <cell r="K48" t="str">
            <v>32nm 32Gb D2</v>
          </cell>
          <cell r="L48" t="str">
            <v>32</v>
          </cell>
        </row>
        <row r="49">
          <cell r="C49" t="str">
            <v>54-62-05741-008G</v>
          </cell>
          <cell r="D49" t="str">
            <v>54-82-05741-008G</v>
          </cell>
          <cell r="E49" t="str">
            <v>54-81-00389</v>
          </cell>
          <cell r="F49" t="str">
            <v>12.960x10.777</v>
          </cell>
          <cell r="G49" t="str">
            <v>20-81-00251</v>
          </cell>
          <cell r="H49" t="str">
            <v>2.372x2.243</v>
          </cell>
          <cell r="I49" t="str">
            <v>21.35X13.98</v>
          </cell>
          <cell r="J49" t="e">
            <v>#N/A</v>
          </cell>
          <cell r="K49" t="str">
            <v>32nm 32Gb D2</v>
          </cell>
          <cell r="L49" t="str">
            <v>32</v>
          </cell>
        </row>
        <row r="50">
          <cell r="C50" t="str">
            <v>54-82-05701-008G</v>
          </cell>
          <cell r="D50" t="str">
            <v>54-82-05701-008G</v>
          </cell>
          <cell r="E50" t="str">
            <v>54-81-00343</v>
          </cell>
          <cell r="F50" t="str">
            <v>12.960x10.777</v>
          </cell>
          <cell r="G50" t="str">
            <v>20-81-00118</v>
          </cell>
          <cell r="H50" t="str">
            <v>2.485X2.39</v>
          </cell>
          <cell r="I50" t="str">
            <v>21.35X13.98</v>
          </cell>
          <cell r="K50" t="str">
            <v>32nm 32Gb D2</v>
          </cell>
          <cell r="L50" t="str">
            <v>32</v>
          </cell>
        </row>
        <row r="51">
          <cell r="C51" t="str">
            <v>54-82-05700-008G</v>
          </cell>
          <cell r="D51" t="str">
            <v>54-82-05700-008G</v>
          </cell>
          <cell r="E51" t="str">
            <v>54-81-00343</v>
          </cell>
          <cell r="F51" t="str">
            <v>12.960x10.777</v>
          </cell>
          <cell r="G51" t="str">
            <v>20-81-00118</v>
          </cell>
          <cell r="H51" t="str">
            <v>2.485X2.39</v>
          </cell>
          <cell r="I51" t="str">
            <v>21.35X13.98</v>
          </cell>
          <cell r="K51" t="str">
            <v>32nm 32Gb D2</v>
          </cell>
          <cell r="L51" t="str">
            <v>32</v>
          </cell>
        </row>
        <row r="52">
          <cell r="C52" t="str">
            <v>54-62-04429-008G</v>
          </cell>
          <cell r="D52" t="str">
            <v>54-82-04429-008G</v>
          </cell>
          <cell r="E52" t="str">
            <v>54-81-00343</v>
          </cell>
          <cell r="F52" t="str">
            <v>12.960x10.777</v>
          </cell>
          <cell r="G52" t="str">
            <v>20-81-00118</v>
          </cell>
          <cell r="H52" t="str">
            <v>2.485X2.39</v>
          </cell>
          <cell r="I52" t="str">
            <v>21.35X13.98</v>
          </cell>
          <cell r="K52" t="str">
            <v>32nm 32Gb D2</v>
          </cell>
          <cell r="L52" t="str">
            <v>32</v>
          </cell>
        </row>
        <row r="53">
          <cell r="C53" t="str">
            <v>54-82-04614-008G</v>
          </cell>
          <cell r="D53" t="str">
            <v>54-82-04614-008G</v>
          </cell>
          <cell r="E53" t="str">
            <v>54-81-00356</v>
          </cell>
          <cell r="F53" t="str">
            <v>12.960x10.777</v>
          </cell>
          <cell r="G53" t="str">
            <v>20-81-00118</v>
          </cell>
          <cell r="H53" t="str">
            <v>2.485X2.39</v>
          </cell>
          <cell r="I53" t="str">
            <v>21.35X13.98</v>
          </cell>
          <cell r="K53" t="str">
            <v>32nm 32Gb D2</v>
          </cell>
          <cell r="L53" t="str">
            <v>32</v>
          </cell>
        </row>
        <row r="54">
          <cell r="C54" t="str">
            <v>54-82-04463-008G</v>
          </cell>
          <cell r="D54" t="str">
            <v>54-82-04463-008G</v>
          </cell>
          <cell r="E54" t="str">
            <v>54-81-00356</v>
          </cell>
          <cell r="F54" t="str">
            <v>12.960x10.777</v>
          </cell>
          <cell r="G54" t="str">
            <v>20-81-00124</v>
          </cell>
          <cell r="H54" t="str">
            <v>2.416X2.606</v>
          </cell>
          <cell r="I54" t="str">
            <v>21.35X13.98</v>
          </cell>
          <cell r="K54" t="str">
            <v>32nm 32Gb D2</v>
          </cell>
          <cell r="L54" t="str">
            <v>32</v>
          </cell>
        </row>
        <row r="55">
          <cell r="C55" t="str">
            <v>54-82-08707-008G</v>
          </cell>
          <cell r="D55" t="str">
            <v>54-82-08707-008G</v>
          </cell>
          <cell r="E55" t="str">
            <v>54-81-00402</v>
          </cell>
          <cell r="F55" t="str">
            <v>15.729x10.027</v>
          </cell>
          <cell r="G55" t="str">
            <v>20-81-00303</v>
          </cell>
          <cell r="H55" t="str">
            <v>3.456x1.361</v>
          </cell>
          <cell r="I55" t="str">
            <v>21.35X13.98</v>
          </cell>
          <cell r="K55" t="str">
            <v>24nm 64Gb D2A</v>
          </cell>
          <cell r="L55" t="str">
            <v>24</v>
          </cell>
        </row>
        <row r="56">
          <cell r="C56" t="str">
            <v>54-62-08547-016G</v>
          </cell>
          <cell r="D56" t="str">
            <v>54-82-08547-016G</v>
          </cell>
          <cell r="E56" t="str">
            <v>54-81-00412</v>
          </cell>
          <cell r="F56" t="str">
            <v>9.573x15.741</v>
          </cell>
          <cell r="G56" t="str">
            <v>20-81-00277</v>
          </cell>
          <cell r="H56" t="str">
            <v>3.211X1.301</v>
          </cell>
          <cell r="I56" t="str">
            <v>21.35X13.98</v>
          </cell>
          <cell r="K56" t="str">
            <v>24nm 64Gb D2H</v>
          </cell>
          <cell r="L56" t="str">
            <v>24</v>
          </cell>
        </row>
        <row r="57">
          <cell r="C57" t="str">
            <v>54-62-08350-016G</v>
          </cell>
          <cell r="D57" t="str">
            <v>54-82-08350-016G</v>
          </cell>
          <cell r="E57" t="str">
            <v>54-81-00406</v>
          </cell>
          <cell r="F57" t="str">
            <v>9.573x15.741</v>
          </cell>
          <cell r="G57" t="str">
            <v>20-81-00277</v>
          </cell>
          <cell r="H57" t="str">
            <v>3.211X1.301</v>
          </cell>
          <cell r="I57" t="str">
            <v>21.35X13.98</v>
          </cell>
          <cell r="K57" t="str">
            <v>24nm 64Gb D2H</v>
          </cell>
          <cell r="L57" t="str">
            <v>24</v>
          </cell>
        </row>
        <row r="58">
          <cell r="C58" t="str">
            <v>54-62-06920-016G</v>
          </cell>
          <cell r="D58" t="str">
            <v>54-82-06920-016G</v>
          </cell>
          <cell r="E58" t="str">
            <v>54-81-00406</v>
          </cell>
          <cell r="F58" t="str">
            <v>9.573x15.741</v>
          </cell>
          <cell r="G58" t="str">
            <v>20-81-00277</v>
          </cell>
          <cell r="H58" t="str">
            <v>3.211X1.301</v>
          </cell>
          <cell r="I58" t="str">
            <v>21.35X13.98</v>
          </cell>
          <cell r="K58" t="str">
            <v>24nm 64Gb D2H</v>
          </cell>
          <cell r="L58" t="str">
            <v>24</v>
          </cell>
        </row>
        <row r="59">
          <cell r="C59" t="str">
            <v>54-62-06921-016G</v>
          </cell>
          <cell r="D59" t="str">
            <v>54-82-06921-016G</v>
          </cell>
          <cell r="E59" t="str">
            <v>54-81-00406</v>
          </cell>
          <cell r="F59" t="str">
            <v>9.573x15.741</v>
          </cell>
          <cell r="G59" t="str">
            <v>20-81-00277</v>
          </cell>
          <cell r="H59" t="str">
            <v>3.211X1.301</v>
          </cell>
          <cell r="I59" t="str">
            <v>21.35X13.98</v>
          </cell>
          <cell r="J59" t="e">
            <v>#N/A</v>
          </cell>
          <cell r="K59" t="str">
            <v>24nm 64Gb D2H</v>
          </cell>
          <cell r="L59" t="str">
            <v>24</v>
          </cell>
        </row>
        <row r="60">
          <cell r="C60" t="str">
            <v>54-62-08211-016G</v>
          </cell>
          <cell r="D60" t="str">
            <v>54-82-08211-016G</v>
          </cell>
          <cell r="E60" t="str">
            <v>54-81-00465</v>
          </cell>
          <cell r="F60" t="str">
            <v>12.590x9.440</v>
          </cell>
          <cell r="G60" t="str">
            <v>20-81-00303</v>
          </cell>
          <cell r="H60" t="str">
            <v>3.456x1.361</v>
          </cell>
          <cell r="I60" t="str">
            <v>21.35X10.1</v>
          </cell>
          <cell r="K60" t="str">
            <v>24nm 64Gb EX3</v>
          </cell>
          <cell r="L60" t="str">
            <v>24</v>
          </cell>
        </row>
        <row r="61">
          <cell r="C61" t="str">
            <v>54-62-05837-016G</v>
          </cell>
          <cell r="D61" t="str">
            <v>54-82-05837-016G</v>
          </cell>
          <cell r="E61" t="str">
            <v>54-81-00451</v>
          </cell>
          <cell r="F61" t="str">
            <v>10.970x17.700</v>
          </cell>
          <cell r="G61" t="str">
            <v>20-81-00251</v>
          </cell>
          <cell r="H61" t="str">
            <v>2.372x2.243</v>
          </cell>
          <cell r="I61" t="str">
            <v>21.35X13.98</v>
          </cell>
          <cell r="K61" t="str">
            <v>32nm 64Gb EX3</v>
          </cell>
          <cell r="L61" t="str">
            <v>32</v>
          </cell>
        </row>
        <row r="62">
          <cell r="C62" t="str">
            <v>54-82-04314-016G</v>
          </cell>
          <cell r="D62" t="str">
            <v>54-82-04314-016G</v>
          </cell>
          <cell r="E62" t="str">
            <v>54-81-00382</v>
          </cell>
          <cell r="F62" t="str">
            <v>12.247X9.215</v>
          </cell>
          <cell r="G62" t="str">
            <v>20-81-00252</v>
          </cell>
          <cell r="H62" t="str">
            <v>3.592X1.845</v>
          </cell>
          <cell r="I62" t="str">
            <v>21.35X13.98</v>
          </cell>
          <cell r="K62" t="str">
            <v>32nm 32Gb D3</v>
          </cell>
          <cell r="L62" t="str">
            <v>32</v>
          </cell>
        </row>
        <row r="63">
          <cell r="C63" t="str">
            <v>54-62-05771-016G</v>
          </cell>
          <cell r="D63" t="str">
            <v>54-82-05771-016G</v>
          </cell>
          <cell r="E63" t="str">
            <v>54-81-00389</v>
          </cell>
          <cell r="F63" t="str">
            <v>12.960x10.777</v>
          </cell>
          <cell r="G63" t="str">
            <v>20-81-00251</v>
          </cell>
          <cell r="H63" t="str">
            <v>2.372x2.243</v>
          </cell>
          <cell r="I63" t="str">
            <v>21.35X13.98</v>
          </cell>
          <cell r="J63" t="e">
            <v>#N/A</v>
          </cell>
          <cell r="K63" t="str">
            <v>32nm 32Gb D2</v>
          </cell>
          <cell r="L63" t="str">
            <v>32</v>
          </cell>
        </row>
        <row r="64">
          <cell r="C64" t="str">
            <v>54-82-06646-016G</v>
          </cell>
          <cell r="D64" t="str">
            <v>54-82-06646-016G</v>
          </cell>
          <cell r="E64" t="str">
            <v>54-81-00359</v>
          </cell>
          <cell r="F64" t="str">
            <v>12.960x10.777</v>
          </cell>
          <cell r="G64" t="str">
            <v>20-81-00124</v>
          </cell>
          <cell r="H64" t="str">
            <v>2.416X2.606</v>
          </cell>
          <cell r="I64" t="str">
            <v>21.35X13.98</v>
          </cell>
          <cell r="K64" t="str">
            <v>32nm 32Gb D2</v>
          </cell>
          <cell r="L64" t="str">
            <v>32</v>
          </cell>
        </row>
        <row r="65">
          <cell r="C65" t="str">
            <v>54-82-06642-016G</v>
          </cell>
          <cell r="D65" t="str">
            <v>54-82-06642-016G</v>
          </cell>
          <cell r="E65" t="str">
            <v>54-81-00359</v>
          </cell>
          <cell r="F65" t="str">
            <v>12.960x10.777</v>
          </cell>
          <cell r="G65" t="str">
            <v>20-81-00124</v>
          </cell>
          <cell r="H65" t="str">
            <v>2.416X2.606</v>
          </cell>
          <cell r="I65" t="str">
            <v>21.35X13.98</v>
          </cell>
          <cell r="K65" t="str">
            <v>32nm 32Gb D2</v>
          </cell>
          <cell r="L65" t="str">
            <v>32</v>
          </cell>
        </row>
        <row r="66">
          <cell r="C66" t="str">
            <v>54-82-05772-016G</v>
          </cell>
          <cell r="D66" t="str">
            <v>54-82-05772-016G</v>
          </cell>
          <cell r="E66" t="str">
            <v>54-81-00359</v>
          </cell>
          <cell r="F66" t="str">
            <v>12.960x10.777</v>
          </cell>
          <cell r="G66" t="str">
            <v>20-81-00251</v>
          </cell>
          <cell r="H66" t="str">
            <v>2.372x2.243</v>
          </cell>
          <cell r="I66" t="str">
            <v>21.35X13.98</v>
          </cell>
          <cell r="K66" t="str">
            <v>32nm 32Gb D2</v>
          </cell>
          <cell r="L66" t="str">
            <v>32</v>
          </cell>
        </row>
        <row r="67">
          <cell r="C67" t="str">
            <v>54-82-05648-016G</v>
          </cell>
          <cell r="D67" t="str">
            <v>54-82-05648-016G</v>
          </cell>
          <cell r="E67" t="str">
            <v>54-81-00343</v>
          </cell>
          <cell r="F67" t="str">
            <v>12.960x10.777</v>
          </cell>
          <cell r="G67" t="str">
            <v>20-81-00124</v>
          </cell>
          <cell r="H67" t="str">
            <v>2.416X2.606</v>
          </cell>
          <cell r="I67" t="str">
            <v>21.35X13.98</v>
          </cell>
          <cell r="K67" t="str">
            <v>32nm 32Gb D2</v>
          </cell>
          <cell r="L67" t="str">
            <v>32</v>
          </cell>
        </row>
        <row r="68">
          <cell r="C68" t="str">
            <v>54-82-04156-016G</v>
          </cell>
          <cell r="D68" t="str">
            <v>54-82-04156-016G</v>
          </cell>
          <cell r="E68" t="str">
            <v>54-81-00343</v>
          </cell>
          <cell r="F68" t="str">
            <v>12.960x10.777</v>
          </cell>
          <cell r="G68" t="str">
            <v>20-81-00124</v>
          </cell>
          <cell r="H68" t="str">
            <v>2.416X2.606</v>
          </cell>
          <cell r="I68" t="str">
            <v>21.35X13.98</v>
          </cell>
          <cell r="K68" t="str">
            <v>32nm 32Gb D2</v>
          </cell>
          <cell r="L68" t="str">
            <v>32</v>
          </cell>
        </row>
        <row r="69">
          <cell r="C69" t="str">
            <v>54-82-08707-016G</v>
          </cell>
          <cell r="D69" t="str">
            <v>54-82-08707-016G</v>
          </cell>
          <cell r="E69" t="str">
            <v>54-81-00402</v>
          </cell>
          <cell r="F69" t="str">
            <v>15.729x10.027</v>
          </cell>
          <cell r="G69" t="str">
            <v>20-81-00303</v>
          </cell>
          <cell r="H69" t="str">
            <v>3.456x1.361</v>
          </cell>
          <cell r="I69" t="str">
            <v>21.35X13.98</v>
          </cell>
          <cell r="K69" t="str">
            <v>24nm 64Gb D2A</v>
          </cell>
          <cell r="L69" t="str">
            <v>24</v>
          </cell>
        </row>
        <row r="70">
          <cell r="C70" t="str">
            <v>54-82-08211-032G</v>
          </cell>
          <cell r="D70" t="str">
            <v>54-82-08211-032G</v>
          </cell>
          <cell r="E70" t="str">
            <v>54-81-00465</v>
          </cell>
          <cell r="F70" t="str">
            <v>12.590x9.440</v>
          </cell>
          <cell r="G70" t="str">
            <v>20-81-00303</v>
          </cell>
          <cell r="H70" t="str">
            <v>3.456x1.361</v>
          </cell>
          <cell r="I70" t="str">
            <v>21.35X10.1</v>
          </cell>
          <cell r="K70" t="str">
            <v>24nm 64Gb EX3</v>
          </cell>
          <cell r="L70" t="str">
            <v>24</v>
          </cell>
        </row>
        <row r="71">
          <cell r="C71" t="str">
            <v>54-82-08547-032G</v>
          </cell>
          <cell r="D71" t="str">
            <v>54-82-08547-032G</v>
          </cell>
          <cell r="E71" t="str">
            <v>54-81-00412</v>
          </cell>
          <cell r="F71" t="str">
            <v>9.573x15.741</v>
          </cell>
          <cell r="G71" t="str">
            <v>20-81-00277</v>
          </cell>
          <cell r="H71" t="str">
            <v>3.211X1.301</v>
          </cell>
          <cell r="I71" t="str">
            <v>21.35X13.98</v>
          </cell>
          <cell r="K71" t="str">
            <v>24nm 64Gb D2H</v>
          </cell>
          <cell r="L71" t="str">
            <v>24</v>
          </cell>
        </row>
        <row r="72">
          <cell r="C72" t="str">
            <v>54-82-08351-032G</v>
          </cell>
          <cell r="D72" t="str">
            <v>54-82-08351-032G</v>
          </cell>
          <cell r="E72" t="str">
            <v>54-81-00406</v>
          </cell>
          <cell r="F72" t="str">
            <v>9.573x15.741</v>
          </cell>
          <cell r="G72" t="str">
            <v>20-81-00277</v>
          </cell>
          <cell r="H72" t="str">
            <v>3.211X1.301</v>
          </cell>
          <cell r="I72" t="str">
            <v>21.35X13.98</v>
          </cell>
          <cell r="K72" t="str">
            <v>24nm 64Gb D2H</v>
          </cell>
          <cell r="L72" t="str">
            <v>24</v>
          </cell>
        </row>
        <row r="73">
          <cell r="C73" t="str">
            <v>54-82-06920-032G</v>
          </cell>
          <cell r="D73" t="str">
            <v>54-82-06920-032G</v>
          </cell>
          <cell r="E73" t="str">
            <v>54-81-00406</v>
          </cell>
          <cell r="F73" t="str">
            <v>9.573x15.741</v>
          </cell>
          <cell r="G73" t="str">
            <v>20-81-00277</v>
          </cell>
          <cell r="H73" t="str">
            <v>3.211X1.301</v>
          </cell>
          <cell r="I73" t="str">
            <v>21.35X13.98</v>
          </cell>
          <cell r="K73" t="str">
            <v>24nm 64Gb D2H</v>
          </cell>
          <cell r="L73" t="str">
            <v>24</v>
          </cell>
        </row>
        <row r="74">
          <cell r="C74" t="str">
            <v>54-82-06646-032G</v>
          </cell>
          <cell r="D74" t="str">
            <v>54-82-06646-032G</v>
          </cell>
          <cell r="E74" t="str">
            <v>54-81-00359</v>
          </cell>
          <cell r="F74" t="str">
            <v>12.960x10.777</v>
          </cell>
          <cell r="G74" t="str">
            <v>20-81-00251</v>
          </cell>
          <cell r="H74" t="str">
            <v>2.372x2.243</v>
          </cell>
          <cell r="I74" t="str">
            <v>21.35X13.98</v>
          </cell>
          <cell r="K74" t="str">
            <v>32nm 32Gb D2</v>
          </cell>
          <cell r="L74" t="str">
            <v>32</v>
          </cell>
        </row>
        <row r="75">
          <cell r="C75" t="str">
            <v>54-82-05772-032G</v>
          </cell>
          <cell r="D75" t="str">
            <v>54-82-05772-032G</v>
          </cell>
          <cell r="E75" t="str">
            <v>54-81-00359</v>
          </cell>
          <cell r="F75" t="str">
            <v>12.960x10.777</v>
          </cell>
          <cell r="G75" t="str">
            <v>20-81-00251</v>
          </cell>
          <cell r="H75" t="str">
            <v>2.372x2.243</v>
          </cell>
          <cell r="I75" t="str">
            <v>21.35X13.98</v>
          </cell>
          <cell r="K75" t="str">
            <v>32nm 32Gb D2</v>
          </cell>
          <cell r="L75" t="str">
            <v>32</v>
          </cell>
        </row>
        <row r="76">
          <cell r="C76" t="str">
            <v>54-82-04642-032G</v>
          </cell>
          <cell r="D76" t="str">
            <v>54-82-04642-032G</v>
          </cell>
          <cell r="E76" t="str">
            <v>54-81-00341</v>
          </cell>
          <cell r="F76" t="str">
            <v>10.970x17.700</v>
          </cell>
          <cell r="G76" t="str">
            <v>20-81-00251</v>
          </cell>
          <cell r="H76" t="str">
            <v>2.372x2.243</v>
          </cell>
          <cell r="I76" t="str">
            <v>21.35X13.98</v>
          </cell>
          <cell r="K76" t="str">
            <v>32nm 64Gb EX3</v>
          </cell>
          <cell r="L76" t="str">
            <v>32</v>
          </cell>
        </row>
        <row r="77">
          <cell r="C77" t="str">
            <v>54-82-04314-032G</v>
          </cell>
          <cell r="D77" t="str">
            <v>54-82-04314-032G</v>
          </cell>
          <cell r="E77" t="str">
            <v>54-81-00340</v>
          </cell>
          <cell r="F77" t="str">
            <v>12.247X9.215</v>
          </cell>
          <cell r="G77" t="str">
            <v>20-81-00252</v>
          </cell>
          <cell r="H77" t="str">
            <v>3.592X1.845</v>
          </cell>
          <cell r="I77" t="str">
            <v>21.35X13.98</v>
          </cell>
          <cell r="K77" t="str">
            <v>32nm 32Gb D3</v>
          </cell>
          <cell r="L77" t="str">
            <v>32</v>
          </cell>
        </row>
        <row r="78">
          <cell r="C78" t="str">
            <v>54-82-08707-032G</v>
          </cell>
          <cell r="D78" t="str">
            <v>54-82-08707-032G</v>
          </cell>
          <cell r="E78" t="str">
            <v>54-81-00402</v>
          </cell>
          <cell r="F78" t="str">
            <v>15.729x10.027</v>
          </cell>
          <cell r="G78" t="str">
            <v>20-81-00303</v>
          </cell>
          <cell r="H78" t="str">
            <v>3.456x1.361</v>
          </cell>
          <cell r="I78" t="str">
            <v>21.35X13.98</v>
          </cell>
          <cell r="K78" t="str">
            <v>24nm 64Gb D2A</v>
          </cell>
          <cell r="L78" t="str">
            <v>24</v>
          </cell>
        </row>
        <row r="79">
          <cell r="C79" t="str">
            <v>54-82-08707-064G</v>
          </cell>
          <cell r="D79" t="str">
            <v>54-82-08707-064G</v>
          </cell>
          <cell r="E79" t="str">
            <v>54-81-00402</v>
          </cell>
          <cell r="F79" t="str">
            <v>15.729x10.027</v>
          </cell>
          <cell r="G79" t="str">
            <v>20-81-00303</v>
          </cell>
          <cell r="H79" t="str">
            <v>3.456x1.361</v>
          </cell>
          <cell r="I79" t="str">
            <v>21.35X13.98</v>
          </cell>
          <cell r="K79" t="str">
            <v>24nm 64Gb D2A</v>
          </cell>
          <cell r="L79" t="str">
            <v>24</v>
          </cell>
        </row>
        <row r="80">
          <cell r="C80" t="str">
            <v>54-82-08547-064G</v>
          </cell>
          <cell r="D80" t="str">
            <v>54-82-08547-064G</v>
          </cell>
          <cell r="E80" t="str">
            <v>54-81-00412</v>
          </cell>
          <cell r="F80" t="str">
            <v>9.573x15.741</v>
          </cell>
          <cell r="G80" t="str">
            <v>20-81-00277</v>
          </cell>
          <cell r="H80" t="str">
            <v>3.211X1.301</v>
          </cell>
          <cell r="I80" t="str">
            <v>21.35X13.98</v>
          </cell>
          <cell r="K80" t="str">
            <v>24nm 64Gb D2H</v>
          </cell>
          <cell r="L80" t="str">
            <v>24</v>
          </cell>
        </row>
        <row r="81">
          <cell r="C81" t="str">
            <v>54-82-08211-064G</v>
          </cell>
          <cell r="D81" t="str">
            <v>54-82-08211-064G</v>
          </cell>
          <cell r="E81" t="str">
            <v>54-81-00465</v>
          </cell>
          <cell r="F81" t="str">
            <v>12.590x9.440</v>
          </cell>
          <cell r="G81" t="str">
            <v>20-81-00339</v>
          </cell>
          <cell r="H81" t="str">
            <v>3.456x1.361</v>
          </cell>
          <cell r="I81" t="str">
            <v>21.35X10.1</v>
          </cell>
          <cell r="J81" t="e">
            <v>#N/A</v>
          </cell>
          <cell r="K81" t="str">
            <v>24nm 64Gb EX3</v>
          </cell>
          <cell r="L81" t="str">
            <v>24</v>
          </cell>
        </row>
        <row r="82">
          <cell r="C82" t="str">
            <v>54-82-05890-064G</v>
          </cell>
          <cell r="D82" t="str">
            <v>54-82-05890-064G</v>
          </cell>
          <cell r="E82" t="str">
            <v>54-81-00474</v>
          </cell>
          <cell r="F82" t="str">
            <v>10.970x17.700</v>
          </cell>
          <cell r="G82" t="str">
            <v>20-81-00277</v>
          </cell>
          <cell r="H82" t="str">
            <v>3.211X1.301</v>
          </cell>
          <cell r="I82" t="str">
            <v>21.35X13.98</v>
          </cell>
          <cell r="K82" t="str">
            <v>32nm 64Gb EX3</v>
          </cell>
          <cell r="L82" t="str">
            <v>32</v>
          </cell>
        </row>
        <row r="83">
          <cell r="C83" t="str">
            <v>54-62-05628-001G</v>
          </cell>
          <cell r="D83" t="str">
            <v>54-82-05628-001G</v>
          </cell>
          <cell r="E83" t="str">
            <v>54-81-00357</v>
          </cell>
          <cell r="F83" t="str">
            <v>8.33x5.55</v>
          </cell>
          <cell r="G83" t="str">
            <v>20-81-00250</v>
          </cell>
          <cell r="H83" t="str">
            <v>1.814x1.880</v>
          </cell>
          <cell r="I83" t="str">
            <v>11X15</v>
          </cell>
          <cell r="K83" t="str">
            <v>32nm 8Gb D2</v>
          </cell>
          <cell r="L83" t="str">
            <v>32</v>
          </cell>
        </row>
        <row r="84">
          <cell r="C84" t="str">
            <v>54-62-05629-001G</v>
          </cell>
          <cell r="D84" t="str">
            <v>54-82-05629-001G</v>
          </cell>
          <cell r="E84" t="str">
            <v>54-81-00357</v>
          </cell>
          <cell r="F84" t="str">
            <v>8.33x5.55</v>
          </cell>
          <cell r="G84" t="str">
            <v>20-81-00250</v>
          </cell>
          <cell r="H84" t="str">
            <v>1.814x1.880</v>
          </cell>
          <cell r="I84" t="str">
            <v>11X15</v>
          </cell>
          <cell r="K84" t="str">
            <v>32nm 8Gb D2</v>
          </cell>
          <cell r="L84" t="str">
            <v>32</v>
          </cell>
        </row>
        <row r="85">
          <cell r="C85" t="str">
            <v>54-62-06684-001G</v>
          </cell>
          <cell r="D85" t="str">
            <v>54-82-06684-001G</v>
          </cell>
          <cell r="E85" t="str">
            <v>54-81-00357</v>
          </cell>
          <cell r="F85" t="str">
            <v>8.33x5.55</v>
          </cell>
          <cell r="G85" t="str">
            <v>20-81-00250</v>
          </cell>
          <cell r="H85" t="str">
            <v>1.814x1.880</v>
          </cell>
          <cell r="I85" t="str">
            <v>11X15</v>
          </cell>
          <cell r="K85" t="str">
            <v>32nm 8Gb D2</v>
          </cell>
          <cell r="L85" t="str">
            <v>32</v>
          </cell>
        </row>
        <row r="86">
          <cell r="C86" t="str">
            <v>54-62-05907-001G</v>
          </cell>
          <cell r="D86" t="str">
            <v>54-82-05907-001G</v>
          </cell>
          <cell r="E86" t="str">
            <v>54-81-00357</v>
          </cell>
          <cell r="F86" t="str">
            <v>8.33x5.55</v>
          </cell>
          <cell r="G86" t="str">
            <v>20-81-00250</v>
          </cell>
          <cell r="H86" t="str">
            <v>1.814x1.880</v>
          </cell>
          <cell r="I86" t="str">
            <v>11X15</v>
          </cell>
          <cell r="K86" t="str">
            <v>32nm 8Gb D2</v>
          </cell>
          <cell r="L86" t="str">
            <v>32</v>
          </cell>
        </row>
        <row r="87">
          <cell r="C87" t="str">
            <v>54-62-06593-001G</v>
          </cell>
          <cell r="D87" t="str">
            <v>54-82-06593-001G</v>
          </cell>
          <cell r="E87" t="str">
            <v>54-81-00357</v>
          </cell>
          <cell r="F87" t="str">
            <v>8.33x5.55</v>
          </cell>
          <cell r="G87" t="str">
            <v>20-81-00292</v>
          </cell>
          <cell r="H87" t="str">
            <v>3.337x0.8962</v>
          </cell>
          <cell r="I87" t="str">
            <v>11X15</v>
          </cell>
          <cell r="J87" t="e">
            <v>#N/A</v>
          </cell>
          <cell r="K87" t="str">
            <v>32nm 8Gb D2</v>
          </cell>
          <cell r="L87" t="str">
            <v>32</v>
          </cell>
        </row>
        <row r="88">
          <cell r="C88" t="str">
            <v>54-62-05627-001G</v>
          </cell>
          <cell r="D88" t="str">
            <v>54-82-05627-001G</v>
          </cell>
          <cell r="E88" t="str">
            <v>54-81-00357</v>
          </cell>
          <cell r="F88" t="str">
            <v>8.33x5.55</v>
          </cell>
          <cell r="G88" t="str">
            <v>20-81-00250</v>
          </cell>
          <cell r="H88" t="str">
            <v>1.814x1.880</v>
          </cell>
          <cell r="I88" t="str">
            <v>11X15</v>
          </cell>
          <cell r="K88" t="str">
            <v>32nm 8Gb D2</v>
          </cell>
          <cell r="L88" t="str">
            <v>32</v>
          </cell>
        </row>
        <row r="89">
          <cell r="C89" t="str">
            <v>54-62-05630-001G</v>
          </cell>
          <cell r="D89" t="str">
            <v>54-82-05630-001G</v>
          </cell>
          <cell r="E89" t="str">
            <v>54-81-00357</v>
          </cell>
          <cell r="F89" t="str">
            <v>8.33x5.55</v>
          </cell>
          <cell r="G89" t="str">
            <v>20-81-00250</v>
          </cell>
          <cell r="H89" t="str">
            <v>1.814x1.880</v>
          </cell>
          <cell r="I89" t="str">
            <v>11X15</v>
          </cell>
          <cell r="K89" t="str">
            <v>32nm 8Gb D2</v>
          </cell>
          <cell r="L89" t="str">
            <v>32</v>
          </cell>
        </row>
        <row r="90">
          <cell r="C90" t="str">
            <v>54-62-08306-001G</v>
          </cell>
          <cell r="D90" t="str">
            <v>54-82-08306-001G</v>
          </cell>
          <cell r="E90" t="str">
            <v>54-81-00357</v>
          </cell>
          <cell r="F90" t="str">
            <v>8.33x5.55</v>
          </cell>
          <cell r="G90" t="str">
            <v>20-81-00250</v>
          </cell>
          <cell r="H90" t="str">
            <v>1.814x1.880</v>
          </cell>
          <cell r="I90" t="str">
            <v>11X15</v>
          </cell>
          <cell r="K90" t="str">
            <v>32nm 8Gb D2</v>
          </cell>
          <cell r="L90" t="str">
            <v>32</v>
          </cell>
        </row>
        <row r="91">
          <cell r="C91" t="str">
            <v>54-62-06683-001G</v>
          </cell>
          <cell r="D91" t="str">
            <v>54-82-06683-001G</v>
          </cell>
          <cell r="E91" t="str">
            <v>54-81-00357</v>
          </cell>
          <cell r="F91" t="str">
            <v>8.33x5.55</v>
          </cell>
          <cell r="G91" t="str">
            <v>20-81-00250</v>
          </cell>
          <cell r="H91" t="str">
            <v>1.814x1.880</v>
          </cell>
          <cell r="I91" t="str">
            <v>11X15</v>
          </cell>
          <cell r="K91" t="str">
            <v>32nm 8Gb D2</v>
          </cell>
          <cell r="L91" t="str">
            <v>32</v>
          </cell>
        </row>
        <row r="92">
          <cell r="C92" t="str">
            <v>54-62-07810-002G</v>
          </cell>
          <cell r="D92" t="str">
            <v>54-82-07810-002G</v>
          </cell>
          <cell r="E92" t="str">
            <v>54-81-00396</v>
          </cell>
          <cell r="F92" t="str">
            <v>9.0X7.057</v>
          </cell>
          <cell r="G92" t="str">
            <v>20-81-00277</v>
          </cell>
          <cell r="H92" t="str">
            <v>3.211X1.301</v>
          </cell>
          <cell r="I92" t="str">
            <v>11X15</v>
          </cell>
          <cell r="K92" t="str">
            <v>32nm 16Gb EX3</v>
          </cell>
          <cell r="L92" t="str">
            <v>32</v>
          </cell>
        </row>
        <row r="93">
          <cell r="C93" t="str">
            <v>54-62-07807-002G</v>
          </cell>
          <cell r="D93" t="str">
            <v>54-82-07807-002G</v>
          </cell>
          <cell r="E93" t="str">
            <v>54-81-00396</v>
          </cell>
          <cell r="F93" t="str">
            <v>9.0X7.057</v>
          </cell>
          <cell r="G93" t="str">
            <v>20-81-00277</v>
          </cell>
          <cell r="H93" t="str">
            <v>3.211X1.301</v>
          </cell>
          <cell r="I93" t="str">
            <v>11X15</v>
          </cell>
          <cell r="K93" t="str">
            <v>32nm 16Gb EX3</v>
          </cell>
          <cell r="L93" t="str">
            <v>32</v>
          </cell>
        </row>
        <row r="94">
          <cell r="C94" t="str">
            <v>54-62-07808-002G</v>
          </cell>
          <cell r="D94" t="str">
            <v>54-82-07808-002G</v>
          </cell>
          <cell r="E94" t="str">
            <v>54-81-00396</v>
          </cell>
          <cell r="F94" t="str">
            <v>9.0X7.057</v>
          </cell>
          <cell r="G94" t="str">
            <v>20-81-00277</v>
          </cell>
          <cell r="H94" t="str">
            <v>3.211X1.301</v>
          </cell>
          <cell r="I94" t="str">
            <v>11X15</v>
          </cell>
          <cell r="K94" t="str">
            <v>32nm 16Gb EX3</v>
          </cell>
          <cell r="L94" t="str">
            <v>32</v>
          </cell>
        </row>
        <row r="95">
          <cell r="C95" t="str">
            <v>54-62-06553-002G</v>
          </cell>
          <cell r="D95" t="str">
            <v>54-82-06553-002G</v>
          </cell>
          <cell r="E95" t="str">
            <v>54-81-00396</v>
          </cell>
          <cell r="F95" t="str">
            <v>9.0X7.057</v>
          </cell>
          <cell r="G95" t="str">
            <v>20-81-00277</v>
          </cell>
          <cell r="H95" t="str">
            <v>3.211X1.301</v>
          </cell>
          <cell r="I95" t="str">
            <v>11X15</v>
          </cell>
          <cell r="K95" t="str">
            <v>32nm 16Gb EX3</v>
          </cell>
          <cell r="L95" t="str">
            <v>32</v>
          </cell>
        </row>
        <row r="96">
          <cell r="C96" t="str">
            <v>54-62-06554-002G</v>
          </cell>
          <cell r="D96" t="str">
            <v>54-82-06554-002G</v>
          </cell>
          <cell r="E96" t="str">
            <v>54-81-00396</v>
          </cell>
          <cell r="F96" t="str">
            <v>9.0X7.057</v>
          </cell>
          <cell r="G96" t="str">
            <v>20-81-00277</v>
          </cell>
          <cell r="H96" t="str">
            <v>3.211X1.301</v>
          </cell>
          <cell r="I96" t="str">
            <v>11X15</v>
          </cell>
          <cell r="K96" t="str">
            <v>32nm 16Gb EX3</v>
          </cell>
          <cell r="L96" t="str">
            <v>32</v>
          </cell>
        </row>
        <row r="97">
          <cell r="C97" t="str">
            <v>54-62-06552-002G</v>
          </cell>
          <cell r="D97" t="str">
            <v>54-82-06552-002G</v>
          </cell>
          <cell r="E97" t="str">
            <v>54-81-00396</v>
          </cell>
          <cell r="F97" t="str">
            <v>9.0X7.057</v>
          </cell>
          <cell r="G97" t="str">
            <v>20-81-00277</v>
          </cell>
          <cell r="H97" t="str">
            <v>3.211X1.301</v>
          </cell>
          <cell r="I97" t="str">
            <v>11X15</v>
          </cell>
          <cell r="K97" t="str">
            <v>32nm 16Gb EX3</v>
          </cell>
          <cell r="L97" t="str">
            <v>32</v>
          </cell>
        </row>
        <row r="98">
          <cell r="C98" t="str">
            <v>54-62-06555-002G</v>
          </cell>
          <cell r="D98" t="str">
            <v>54-82-06555-002G</v>
          </cell>
          <cell r="E98" t="str">
            <v>54-81-00396</v>
          </cell>
          <cell r="F98" t="str">
            <v>9.0X7.057</v>
          </cell>
          <cell r="G98" t="str">
            <v>20-81-00277</v>
          </cell>
          <cell r="H98" t="str">
            <v>3.211X1.301</v>
          </cell>
          <cell r="I98" t="str">
            <v>11X15</v>
          </cell>
          <cell r="K98" t="str">
            <v>32nm 16Gb EX3</v>
          </cell>
          <cell r="L98" t="str">
            <v>32</v>
          </cell>
        </row>
        <row r="99">
          <cell r="C99" t="str">
            <v>54-62-06550-002G</v>
          </cell>
          <cell r="D99" t="str">
            <v>54-82-06550-002G</v>
          </cell>
          <cell r="E99" t="str">
            <v>54-81-00396</v>
          </cell>
          <cell r="F99" t="str">
            <v>9.0X7.057</v>
          </cell>
          <cell r="G99" t="str">
            <v>20-81-00277</v>
          </cell>
          <cell r="H99" t="str">
            <v>3.211X1.301</v>
          </cell>
          <cell r="I99" t="str">
            <v>11X15</v>
          </cell>
          <cell r="K99" t="str">
            <v>32nm 16Gb EX3</v>
          </cell>
          <cell r="L99" t="str">
            <v>32</v>
          </cell>
        </row>
        <row r="100">
          <cell r="C100" t="str">
            <v>54-62-08227-002G</v>
          </cell>
          <cell r="D100" t="str">
            <v>54-82-08227-002G</v>
          </cell>
          <cell r="E100" t="str">
            <v>54-81-00396</v>
          </cell>
          <cell r="F100" t="str">
            <v>9.0X7.057</v>
          </cell>
          <cell r="G100" t="str">
            <v>20-81-00277</v>
          </cell>
          <cell r="H100" t="str">
            <v>3.211X1.301</v>
          </cell>
          <cell r="I100" t="str">
            <v>11X15</v>
          </cell>
          <cell r="K100" t="str">
            <v>32nm 16Gb EX3</v>
          </cell>
          <cell r="L100" t="str">
            <v>32</v>
          </cell>
        </row>
        <row r="101">
          <cell r="C101" t="str">
            <v>54-62-06073-002G</v>
          </cell>
          <cell r="D101" t="str">
            <v>54-82-06073-002G</v>
          </cell>
          <cell r="E101" t="str">
            <v>54-81-00396</v>
          </cell>
          <cell r="F101" t="str">
            <v>9.0X7.057</v>
          </cell>
          <cell r="G101" t="str">
            <v>20-81-00277</v>
          </cell>
          <cell r="H101" t="str">
            <v>3.211X1.301</v>
          </cell>
          <cell r="I101" t="str">
            <v>11X15</v>
          </cell>
          <cell r="K101" t="str">
            <v>32nm 16Gb EX3</v>
          </cell>
          <cell r="L101" t="str">
            <v>32</v>
          </cell>
        </row>
        <row r="102">
          <cell r="C102" t="str">
            <v>54-62-04493-002G</v>
          </cell>
          <cell r="D102" t="str">
            <v>54-82-04493-002G</v>
          </cell>
          <cell r="E102" t="str">
            <v>54-81-00344</v>
          </cell>
          <cell r="F102" t="str">
            <v>11.045x7.826</v>
          </cell>
          <cell r="G102" t="str">
            <v>20-81-00250</v>
          </cell>
          <cell r="H102" t="str">
            <v>1.814x1.880</v>
          </cell>
          <cell r="I102" t="str">
            <v>11X15</v>
          </cell>
          <cell r="K102" t="str">
            <v>32nm 16Gb D2</v>
          </cell>
          <cell r="L102" t="str">
            <v>32</v>
          </cell>
        </row>
        <row r="103">
          <cell r="C103" t="str">
            <v>54-62-06071-002G</v>
          </cell>
          <cell r="D103" t="str">
            <v>54-82-06071-002G</v>
          </cell>
          <cell r="E103" t="str">
            <v>54-81-00396</v>
          </cell>
          <cell r="F103" t="str">
            <v>9.0X7.057</v>
          </cell>
          <cell r="G103" t="str">
            <v>20-81-00277</v>
          </cell>
          <cell r="H103" t="str">
            <v>3.211X1.301</v>
          </cell>
          <cell r="I103" t="str">
            <v>11X15</v>
          </cell>
          <cell r="K103" t="str">
            <v>32nm 16Gb EX3</v>
          </cell>
          <cell r="L103" t="str">
            <v>32</v>
          </cell>
        </row>
        <row r="104">
          <cell r="C104" t="str">
            <v>54-62-06074-002G</v>
          </cell>
          <cell r="D104" t="str">
            <v>54-82-06074-002G</v>
          </cell>
          <cell r="E104" t="str">
            <v>54-81-00396</v>
          </cell>
          <cell r="F104" t="str">
            <v>9.0X7.057</v>
          </cell>
          <cell r="G104" t="str">
            <v>20-81-00277</v>
          </cell>
          <cell r="H104" t="str">
            <v>3.211X1.301</v>
          </cell>
          <cell r="I104" t="str">
            <v>11X15</v>
          </cell>
          <cell r="K104" t="str">
            <v>32nm 16Gb EX3</v>
          </cell>
          <cell r="L104" t="str">
            <v>32</v>
          </cell>
        </row>
        <row r="105">
          <cell r="C105" t="str">
            <v>54-62-06727-002G</v>
          </cell>
          <cell r="D105" t="str">
            <v>54-82-06727-002G</v>
          </cell>
          <cell r="E105" t="str">
            <v>54-81-00471</v>
          </cell>
          <cell r="F105" t="str">
            <v>12.218X9.0</v>
          </cell>
          <cell r="G105" t="str">
            <v>20-81-00251</v>
          </cell>
          <cell r="H105" t="str">
            <v>2.372x2.243</v>
          </cell>
          <cell r="I105" t="str">
            <v>11X15</v>
          </cell>
          <cell r="K105" t="str">
            <v>32nm 32Gb EX3</v>
          </cell>
          <cell r="L105" t="str">
            <v>32</v>
          </cell>
        </row>
        <row r="106">
          <cell r="C106" t="str">
            <v>54-62-06729-002G</v>
          </cell>
          <cell r="D106" t="str">
            <v>54-82-06729-002G</v>
          </cell>
          <cell r="E106" t="str">
            <v>54-81-00354</v>
          </cell>
          <cell r="F106" t="str">
            <v>12.218X9.0</v>
          </cell>
          <cell r="G106" t="str">
            <v>20-81-00251</v>
          </cell>
          <cell r="H106" t="str">
            <v>2.372x2.243</v>
          </cell>
          <cell r="I106" t="str">
            <v>11X15</v>
          </cell>
          <cell r="K106" t="str">
            <v>32nm 32Gb EX3</v>
          </cell>
          <cell r="L106" t="str">
            <v>32</v>
          </cell>
        </row>
        <row r="107">
          <cell r="C107" t="str">
            <v>54-62-05994-002G</v>
          </cell>
          <cell r="D107" t="str">
            <v>54-82-05994-002G</v>
          </cell>
          <cell r="E107" t="str">
            <v>54-81-00450</v>
          </cell>
          <cell r="F107" t="str">
            <v>11.045x7.826</v>
          </cell>
          <cell r="G107" t="str">
            <v>20-81-00292</v>
          </cell>
          <cell r="H107" t="str">
            <v>3.337x0.8962</v>
          </cell>
          <cell r="I107" t="str">
            <v>11X15</v>
          </cell>
          <cell r="K107" t="str">
            <v>32nm 16Gb D2</v>
          </cell>
          <cell r="L107" t="str">
            <v>32</v>
          </cell>
        </row>
        <row r="108">
          <cell r="C108" t="str">
            <v>54-62-04495-002G</v>
          </cell>
          <cell r="D108" t="str">
            <v>54-82-04495-002G</v>
          </cell>
          <cell r="E108" t="str">
            <v>54-81-00450</v>
          </cell>
          <cell r="F108" t="str">
            <v>11.045x7.826</v>
          </cell>
          <cell r="G108" t="str">
            <v>20-81-00250</v>
          </cell>
          <cell r="H108" t="str">
            <v>1.814x1.880</v>
          </cell>
          <cell r="I108" t="str">
            <v>11X15</v>
          </cell>
          <cell r="K108" t="str">
            <v>32nm 16Gb D2</v>
          </cell>
          <cell r="L108" t="str">
            <v>32</v>
          </cell>
        </row>
        <row r="109">
          <cell r="C109" t="str">
            <v>54-62-03488-002G</v>
          </cell>
          <cell r="D109" t="str">
            <v>54-82-03488-002G</v>
          </cell>
          <cell r="E109" t="str">
            <v>54-81-00450</v>
          </cell>
          <cell r="F109" t="str">
            <v>11.045x7.826</v>
          </cell>
          <cell r="G109" t="str">
            <v>20-81-00123</v>
          </cell>
          <cell r="H109" t="str">
            <v>2.773X3.230</v>
          </cell>
          <cell r="I109" t="str">
            <v>11X15</v>
          </cell>
          <cell r="K109" t="str">
            <v>32nm 16Gb D2</v>
          </cell>
          <cell r="L109" t="str">
            <v>32</v>
          </cell>
        </row>
        <row r="110">
          <cell r="C110" t="str">
            <v>54-62-04494-002G</v>
          </cell>
          <cell r="D110" t="str">
            <v>54-82-04494-002G</v>
          </cell>
          <cell r="E110" t="str">
            <v>54-81-00450</v>
          </cell>
          <cell r="F110" t="str">
            <v>11.045x7.826</v>
          </cell>
          <cell r="G110" t="str">
            <v>20-81-00250</v>
          </cell>
          <cell r="H110" t="str">
            <v>1.814x1.880</v>
          </cell>
          <cell r="I110" t="str">
            <v>11X15</v>
          </cell>
          <cell r="K110" t="str">
            <v>32nm 16Gb D2</v>
          </cell>
          <cell r="L110" t="str">
            <v>32</v>
          </cell>
        </row>
        <row r="111">
          <cell r="C111" t="str">
            <v>54-62-04553-002G</v>
          </cell>
          <cell r="D111" t="str">
            <v>54-82-04553-002G</v>
          </cell>
          <cell r="E111" t="str">
            <v>54-81-00450</v>
          </cell>
          <cell r="F111" t="str">
            <v>11.045x7.826</v>
          </cell>
          <cell r="G111" t="str">
            <v>20-81-00250</v>
          </cell>
          <cell r="H111" t="str">
            <v>1.814x1.880</v>
          </cell>
          <cell r="I111" t="str">
            <v>11X15</v>
          </cell>
          <cell r="K111" t="str">
            <v>32nm 16Gb D2</v>
          </cell>
          <cell r="L111" t="str">
            <v>32</v>
          </cell>
        </row>
        <row r="112">
          <cell r="C112" t="str">
            <v>54-62-06072-002G</v>
          </cell>
          <cell r="D112" t="str">
            <v>54-82-06072-002G</v>
          </cell>
          <cell r="E112" t="str">
            <v>54-81-00396</v>
          </cell>
          <cell r="F112" t="str">
            <v>9.0X7.057</v>
          </cell>
          <cell r="G112" t="str">
            <v>20-81-00277</v>
          </cell>
          <cell r="H112" t="str">
            <v>3.211X1.301</v>
          </cell>
          <cell r="I112" t="str">
            <v>11X15</v>
          </cell>
          <cell r="K112" t="str">
            <v>32nm 16Gb EX3</v>
          </cell>
          <cell r="L112" t="str">
            <v>32</v>
          </cell>
        </row>
        <row r="113">
          <cell r="C113" t="str">
            <v>54-62-04496-002G</v>
          </cell>
          <cell r="D113" t="str">
            <v>54-82-04496-002G</v>
          </cell>
          <cell r="E113" t="str">
            <v>54-81-00450</v>
          </cell>
          <cell r="F113" t="str">
            <v>11.045x7.826</v>
          </cell>
          <cell r="G113" t="str">
            <v>20-81-00250</v>
          </cell>
          <cell r="H113" t="str">
            <v>1.814x1.880</v>
          </cell>
          <cell r="I113" t="str">
            <v>11X15</v>
          </cell>
          <cell r="K113" t="str">
            <v>32nm 16Gb D2</v>
          </cell>
          <cell r="L113" t="str">
            <v>32</v>
          </cell>
        </row>
        <row r="114">
          <cell r="C114" t="str">
            <v>54-62-05993-002G</v>
          </cell>
          <cell r="D114" t="str">
            <v>54-82-05993-002G</v>
          </cell>
          <cell r="E114" t="str">
            <v>54-81-00450</v>
          </cell>
          <cell r="F114" t="str">
            <v>11.045x7.826</v>
          </cell>
          <cell r="G114" t="str">
            <v>20-81-00250</v>
          </cell>
          <cell r="H114" t="str">
            <v>1.814x1.880</v>
          </cell>
          <cell r="I114" t="str">
            <v>11X15</v>
          </cell>
          <cell r="K114" t="str">
            <v>32nm 16Gb D2</v>
          </cell>
          <cell r="L114" t="str">
            <v>32</v>
          </cell>
        </row>
        <row r="115">
          <cell r="C115" t="str">
            <v>54-62-04498-002G</v>
          </cell>
          <cell r="D115" t="str">
            <v>54-82-04498-002G</v>
          </cell>
          <cell r="E115" t="str">
            <v>54-81-00450</v>
          </cell>
          <cell r="F115" t="str">
            <v>11.045x7.826</v>
          </cell>
          <cell r="G115" t="str">
            <v>20-81-00250</v>
          </cell>
          <cell r="H115" t="str">
            <v>1.814x1.880</v>
          </cell>
          <cell r="I115" t="str">
            <v>11X15</v>
          </cell>
          <cell r="K115" t="str">
            <v>32nm 16Gb D2</v>
          </cell>
          <cell r="L115" t="str">
            <v>32</v>
          </cell>
        </row>
        <row r="116">
          <cell r="C116" t="str">
            <v>54-62-05938-002G</v>
          </cell>
          <cell r="D116" t="str">
            <v>54-82-05938-002G</v>
          </cell>
          <cell r="E116" t="str">
            <v>54-81-00450</v>
          </cell>
          <cell r="F116" t="str">
            <v>11.045x7.826</v>
          </cell>
          <cell r="G116" t="str">
            <v>20-81-00250</v>
          </cell>
          <cell r="H116" t="str">
            <v>1.814x1.880</v>
          </cell>
          <cell r="I116" t="str">
            <v>11X15</v>
          </cell>
          <cell r="K116" t="str">
            <v>32nm 16Gb D2</v>
          </cell>
          <cell r="L116" t="str">
            <v>32</v>
          </cell>
        </row>
        <row r="117">
          <cell r="C117" t="str">
            <v>54-62-05651-002G</v>
          </cell>
          <cell r="D117" t="str">
            <v>54-82-05651-002G</v>
          </cell>
          <cell r="E117" t="str">
            <v>54-81-00450</v>
          </cell>
          <cell r="F117" t="str">
            <v>11.045x7.826</v>
          </cell>
          <cell r="G117" t="str">
            <v>20-81-00135</v>
          </cell>
          <cell r="H117" t="str">
            <v>2.485X2.39</v>
          </cell>
          <cell r="I117" t="str">
            <v>11X15</v>
          </cell>
          <cell r="K117" t="str">
            <v>32nm 16Gb D2</v>
          </cell>
          <cell r="L117" t="str">
            <v>32</v>
          </cell>
        </row>
        <row r="118">
          <cell r="C118" t="str">
            <v>54-62-04497-002G</v>
          </cell>
          <cell r="D118" t="str">
            <v>54-82-04497-002G</v>
          </cell>
          <cell r="E118" t="str">
            <v>54-81-00344</v>
          </cell>
          <cell r="F118" t="str">
            <v>11.045x7.826</v>
          </cell>
          <cell r="G118" t="str">
            <v>20-81-00250</v>
          </cell>
          <cell r="H118" t="str">
            <v>1.814x1.880</v>
          </cell>
          <cell r="I118" t="str">
            <v>11X15</v>
          </cell>
          <cell r="K118" t="str">
            <v>32nm 16Gb D2</v>
          </cell>
          <cell r="L118" t="str">
            <v>32</v>
          </cell>
        </row>
        <row r="119">
          <cell r="C119" t="str">
            <v>54-62-05650-002G</v>
          </cell>
          <cell r="D119" t="str">
            <v>54-82-05650-002G</v>
          </cell>
          <cell r="E119" t="str">
            <v>54-81-00344</v>
          </cell>
          <cell r="F119" t="str">
            <v>11.045x7.826</v>
          </cell>
          <cell r="G119" t="str">
            <v>20-81-00135</v>
          </cell>
          <cell r="H119" t="str">
            <v>2.485X2.39</v>
          </cell>
          <cell r="I119" t="str">
            <v>11X15</v>
          </cell>
          <cell r="K119" t="str">
            <v>32nm 16Gb D2</v>
          </cell>
          <cell r="L119" t="str">
            <v>32</v>
          </cell>
        </row>
        <row r="120">
          <cell r="C120" t="str">
            <v>54-62-05654-002G</v>
          </cell>
          <cell r="D120" t="str">
            <v>54-82-05654-002G</v>
          </cell>
          <cell r="E120" t="str">
            <v>54-81-00344</v>
          </cell>
          <cell r="F120" t="str">
            <v>11.045x7.826</v>
          </cell>
          <cell r="G120" t="str">
            <v>20-81-00135</v>
          </cell>
          <cell r="H120" t="str">
            <v>2.485X2.39</v>
          </cell>
          <cell r="I120" t="str">
            <v>11X15</v>
          </cell>
          <cell r="K120" t="str">
            <v>32nm 16Gb D2</v>
          </cell>
          <cell r="L120" t="str">
            <v>32</v>
          </cell>
        </row>
        <row r="121">
          <cell r="C121" t="str">
            <v>54-62-05995-002G</v>
          </cell>
          <cell r="D121" t="str">
            <v>54-82-05995-002G</v>
          </cell>
          <cell r="E121" t="str">
            <v>54-81-00344</v>
          </cell>
          <cell r="F121" t="str">
            <v>11.045x7.826</v>
          </cell>
          <cell r="G121" t="str">
            <v>20-81-00292</v>
          </cell>
          <cell r="H121" t="str">
            <v>3.337x0.8962</v>
          </cell>
          <cell r="I121" t="str">
            <v>11X15</v>
          </cell>
          <cell r="K121" t="str">
            <v>32nm 16Gb D2</v>
          </cell>
          <cell r="L121" t="str">
            <v>32</v>
          </cell>
        </row>
        <row r="122">
          <cell r="C122" t="str">
            <v>54-62-05992-002G</v>
          </cell>
          <cell r="D122" t="str">
            <v>54-82-05992-002G</v>
          </cell>
          <cell r="E122" t="str">
            <v>54-81-00344</v>
          </cell>
          <cell r="F122" t="str">
            <v>11.045x7.826</v>
          </cell>
          <cell r="G122" t="str">
            <v>20-81-00292</v>
          </cell>
          <cell r="H122" t="str">
            <v>3.337x0.8962</v>
          </cell>
          <cell r="I122" t="str">
            <v>11X15</v>
          </cell>
          <cell r="K122" t="str">
            <v>32nm 16Gb D2</v>
          </cell>
          <cell r="L122" t="str">
            <v>32</v>
          </cell>
        </row>
        <row r="123">
          <cell r="C123" t="str">
            <v>54-62-04398-002G</v>
          </cell>
          <cell r="D123" t="str">
            <v>54-82-04398-002G</v>
          </cell>
          <cell r="E123" t="str">
            <v>54-81-00344</v>
          </cell>
          <cell r="F123" t="str">
            <v>11.045x7.826</v>
          </cell>
          <cell r="G123" t="str">
            <v>20-81-00143</v>
          </cell>
          <cell r="H123" t="str">
            <v>1.814x1.880</v>
          </cell>
          <cell r="I123" t="str">
            <v>11X15</v>
          </cell>
          <cell r="K123" t="str">
            <v>32nm 16Gb D2</v>
          </cell>
          <cell r="L123" t="str">
            <v>32</v>
          </cell>
        </row>
        <row r="124">
          <cell r="C124" t="str">
            <v>54-62-05881-002G</v>
          </cell>
          <cell r="D124" t="str">
            <v>54-82-05881-002G</v>
          </cell>
          <cell r="E124" t="str">
            <v>54-81-00344</v>
          </cell>
          <cell r="F124" t="str">
            <v>11.045x7.826</v>
          </cell>
          <cell r="G124" t="str">
            <v>20-81-00143</v>
          </cell>
          <cell r="H124" t="str">
            <v>1.814x1.880</v>
          </cell>
          <cell r="I124" t="str">
            <v>11X15</v>
          </cell>
          <cell r="K124" t="str">
            <v>32nm 16Gb D2</v>
          </cell>
          <cell r="L124" t="str">
            <v>32</v>
          </cell>
        </row>
        <row r="125">
          <cell r="C125" t="str">
            <v>54-62-04555-002G</v>
          </cell>
          <cell r="D125" t="str">
            <v>54-82-04555-002G</v>
          </cell>
          <cell r="E125" t="str">
            <v>54-81-00344</v>
          </cell>
          <cell r="F125" t="str">
            <v>11.045x7.826</v>
          </cell>
          <cell r="G125" t="str">
            <v>20-81-00250</v>
          </cell>
          <cell r="H125" t="str">
            <v>1.814x1.880</v>
          </cell>
          <cell r="I125" t="str">
            <v>11X15</v>
          </cell>
          <cell r="K125" t="str">
            <v>32nm 16Gb D2</v>
          </cell>
          <cell r="L125" t="str">
            <v>32</v>
          </cell>
        </row>
        <row r="126">
          <cell r="C126" t="str">
            <v>54-62-05655-002G</v>
          </cell>
          <cell r="D126" t="str">
            <v>54-82-05655-002G</v>
          </cell>
          <cell r="E126" t="str">
            <v>54-81-00344</v>
          </cell>
          <cell r="F126" t="str">
            <v>11.045x7.826</v>
          </cell>
          <cell r="G126" t="str">
            <v>20-81-00250</v>
          </cell>
          <cell r="H126" t="str">
            <v>1.814x1.880</v>
          </cell>
          <cell r="I126" t="str">
            <v>11X15</v>
          </cell>
          <cell r="K126" t="str">
            <v>32nm 16Gb D2</v>
          </cell>
          <cell r="L126" t="str">
            <v>32</v>
          </cell>
        </row>
        <row r="127">
          <cell r="C127" t="str">
            <v>54-62-04395-002G</v>
          </cell>
          <cell r="D127" t="str">
            <v>54-82-04395-002G</v>
          </cell>
          <cell r="E127" t="str">
            <v>54-81-00344</v>
          </cell>
          <cell r="F127" t="str">
            <v>11.045x7.826</v>
          </cell>
          <cell r="G127" t="str">
            <v>20-81-00250</v>
          </cell>
          <cell r="H127" t="str">
            <v>1.814x1.880</v>
          </cell>
          <cell r="I127" t="str">
            <v>11X15</v>
          </cell>
          <cell r="K127" t="str">
            <v>32nm 16Gb D2</v>
          </cell>
          <cell r="L127" t="str">
            <v>32</v>
          </cell>
        </row>
        <row r="128">
          <cell r="C128" t="str">
            <v>54-62-05990-002G</v>
          </cell>
          <cell r="D128" t="str">
            <v>54-82-05990-002G</v>
          </cell>
          <cell r="E128" t="str">
            <v>54-81-00324</v>
          </cell>
          <cell r="F128" t="str">
            <v>12.910x7.783</v>
          </cell>
          <cell r="G128" t="str">
            <v>20-81-00292</v>
          </cell>
          <cell r="H128" t="str">
            <v>3.337x0.8962</v>
          </cell>
          <cell r="I128" t="str">
            <v>11X15</v>
          </cell>
          <cell r="K128" t="str">
            <v>43nm 16Gb D3</v>
          </cell>
          <cell r="L128" t="str">
            <v>43</v>
          </cell>
        </row>
        <row r="129">
          <cell r="C129" t="str">
            <v>54-62-05988-002G</v>
          </cell>
          <cell r="D129" t="str">
            <v>54-82-05988-002G</v>
          </cell>
          <cell r="E129" t="str">
            <v>54-81-00324</v>
          </cell>
          <cell r="F129" t="str">
            <v>12.910x7.783</v>
          </cell>
          <cell r="G129" t="str">
            <v>20-81-00292</v>
          </cell>
          <cell r="H129" t="str">
            <v>3.337x0.8962</v>
          </cell>
          <cell r="I129" t="str">
            <v>11X15</v>
          </cell>
          <cell r="K129" t="str">
            <v>43nm 16Gb D3</v>
          </cell>
          <cell r="L129" t="str">
            <v>43</v>
          </cell>
        </row>
        <row r="130">
          <cell r="C130" t="str">
            <v>54-62-05696-002G</v>
          </cell>
          <cell r="D130" t="str">
            <v>54-82-05696-002G</v>
          </cell>
          <cell r="E130" t="str">
            <v>54-81-00314</v>
          </cell>
          <cell r="F130" t="str">
            <v>12.910x7.783</v>
          </cell>
          <cell r="G130" t="str">
            <v>20-81-00143</v>
          </cell>
          <cell r="H130" t="str">
            <v>1.814x1.880</v>
          </cell>
          <cell r="I130" t="str">
            <v>11X15</v>
          </cell>
          <cell r="K130" t="str">
            <v>43nm 16Gb D3</v>
          </cell>
          <cell r="L130" t="str">
            <v>43</v>
          </cell>
        </row>
        <row r="131">
          <cell r="C131" t="str">
            <v>54-62-05939-002G</v>
          </cell>
          <cell r="D131" t="str">
            <v>54-82-05939-002G</v>
          </cell>
          <cell r="E131" t="str">
            <v>54-81-00344</v>
          </cell>
          <cell r="F131" t="str">
            <v>11.045x7.826</v>
          </cell>
          <cell r="G131" t="str">
            <v>20-81-00250</v>
          </cell>
          <cell r="H131" t="str">
            <v>1.814x1.880</v>
          </cell>
          <cell r="I131" t="str">
            <v>11X15</v>
          </cell>
          <cell r="K131" t="str">
            <v>32nm 16Gb D2</v>
          </cell>
          <cell r="L131" t="str">
            <v>32</v>
          </cell>
        </row>
        <row r="132">
          <cell r="C132" t="str">
            <v>54-62-08104-004G</v>
          </cell>
          <cell r="D132" t="str">
            <v>54-82-08104-004G</v>
          </cell>
          <cell r="E132" t="str">
            <v>54-81-00464</v>
          </cell>
          <cell r="F132" t="str">
            <v>9.780x7.340</v>
          </cell>
          <cell r="G132" t="str">
            <v>20-81-00303</v>
          </cell>
          <cell r="H132" t="str">
            <v>3.456x1.361</v>
          </cell>
          <cell r="I132" t="str">
            <v>11X15</v>
          </cell>
          <cell r="K132" t="str">
            <v>24nm 32Gb EX3</v>
          </cell>
          <cell r="L132" t="str">
            <v>24</v>
          </cell>
        </row>
        <row r="133">
          <cell r="C133" t="str">
            <v>54-62-08166-004G</v>
          </cell>
          <cell r="D133" t="str">
            <v>54-82-08166-004G</v>
          </cell>
          <cell r="E133" t="str">
            <v>54-81-00464</v>
          </cell>
          <cell r="F133" t="str">
            <v>9.780x7.340</v>
          </cell>
          <cell r="G133" t="str">
            <v>20-81-00339</v>
          </cell>
          <cell r="H133" t="str">
            <v>3.456x1.361</v>
          </cell>
          <cell r="I133" t="str">
            <v>11X15</v>
          </cell>
          <cell r="K133" t="str">
            <v>24nm 32Gb EX3</v>
          </cell>
          <cell r="L133" t="str">
            <v>24</v>
          </cell>
        </row>
        <row r="134">
          <cell r="C134" t="str">
            <v>54-62-08178-004G</v>
          </cell>
          <cell r="D134" t="str">
            <v>54-82-08178-004G</v>
          </cell>
          <cell r="E134" t="str">
            <v>54-81-00464</v>
          </cell>
          <cell r="F134" t="str">
            <v>9.780x7.340</v>
          </cell>
          <cell r="G134" t="str">
            <v>20-81-00303</v>
          </cell>
          <cell r="H134" t="str">
            <v>3.456x1.361</v>
          </cell>
          <cell r="I134" t="str">
            <v>11X15</v>
          </cell>
          <cell r="K134" t="str">
            <v>24nm 32Gb EX3</v>
          </cell>
          <cell r="L134" t="str">
            <v>24</v>
          </cell>
        </row>
        <row r="135">
          <cell r="C135" t="str">
            <v>54-62-06603-004G</v>
          </cell>
          <cell r="D135" t="str">
            <v>54-82-06603-004G</v>
          </cell>
          <cell r="E135" t="str">
            <v>54-81-00475</v>
          </cell>
          <cell r="F135" t="str">
            <v>12.218X9.0</v>
          </cell>
          <cell r="G135" t="str">
            <v>20-81-00277</v>
          </cell>
          <cell r="H135" t="str">
            <v>3.211X1.301</v>
          </cell>
          <cell r="I135" t="str">
            <v>11X15</v>
          </cell>
          <cell r="K135" t="str">
            <v>32nm 32Gb EX3</v>
          </cell>
          <cell r="L135" t="str">
            <v>32</v>
          </cell>
        </row>
        <row r="136">
          <cell r="C136" t="str">
            <v>54-62-06604-004G</v>
          </cell>
          <cell r="D136" t="str">
            <v>54-82-06604-004G</v>
          </cell>
          <cell r="E136" t="str">
            <v>54-81-00433</v>
          </cell>
          <cell r="F136" t="str">
            <v>12.218X9.0</v>
          </cell>
          <cell r="G136" t="str">
            <v>20-81-00277</v>
          </cell>
          <cell r="H136" t="str">
            <v>3.211X1.301</v>
          </cell>
          <cell r="I136" t="str">
            <v>11X15</v>
          </cell>
          <cell r="K136" t="str">
            <v>32nm 32Gb EX3</v>
          </cell>
          <cell r="L136" t="str">
            <v>32</v>
          </cell>
        </row>
        <row r="137">
          <cell r="C137" t="str">
            <v>54-62-06953-004G</v>
          </cell>
          <cell r="D137" t="str">
            <v>54-82-06953-004G</v>
          </cell>
          <cell r="E137" t="str">
            <v>54-81-00344</v>
          </cell>
          <cell r="F137" t="str">
            <v>11.045x7.826</v>
          </cell>
          <cell r="G137" t="str">
            <v>20-81-00123</v>
          </cell>
          <cell r="H137" t="str">
            <v>2.773X3.230</v>
          </cell>
          <cell r="I137" t="str">
            <v>11X15</v>
          </cell>
          <cell r="K137" t="str">
            <v>32nm 16Gb D2</v>
          </cell>
          <cell r="L137" t="str">
            <v>32</v>
          </cell>
        </row>
        <row r="138">
          <cell r="C138" t="str">
            <v>54-62-05745-004G</v>
          </cell>
          <cell r="D138" t="str">
            <v>54-82-05745-004G</v>
          </cell>
          <cell r="E138" t="str">
            <v>54-81-00477</v>
          </cell>
          <cell r="F138" t="str">
            <v>12.218X9.0</v>
          </cell>
          <cell r="G138" t="str">
            <v>20-81-00251</v>
          </cell>
          <cell r="H138" t="str">
            <v>2.372x2.243</v>
          </cell>
          <cell r="I138" t="str">
            <v>11X15</v>
          </cell>
          <cell r="K138" t="str">
            <v>32nm 32Gb EX3</v>
          </cell>
          <cell r="L138" t="str">
            <v>32</v>
          </cell>
        </row>
        <row r="139">
          <cell r="C139" t="str">
            <v>54-62-06048-004G</v>
          </cell>
          <cell r="D139" t="str">
            <v>54-82-06048-004G</v>
          </cell>
          <cell r="E139" t="str">
            <v>54-81-00354</v>
          </cell>
          <cell r="F139" t="str">
            <v>12.218X9.0</v>
          </cell>
          <cell r="G139" t="str">
            <v>20-81-00277</v>
          </cell>
          <cell r="H139" t="str">
            <v>3.211X1.301</v>
          </cell>
          <cell r="I139" t="str">
            <v>11X15</v>
          </cell>
          <cell r="K139" t="str">
            <v>32nm 32Gb EX3</v>
          </cell>
          <cell r="L139" t="str">
            <v>32</v>
          </cell>
        </row>
        <row r="140">
          <cell r="C140" t="str">
            <v>54-62-06024-004G</v>
          </cell>
          <cell r="D140" t="str">
            <v>54-82-06024-004G</v>
          </cell>
          <cell r="E140" t="str">
            <v>54-81-00477</v>
          </cell>
          <cell r="F140" t="str">
            <v>12.218X9.0</v>
          </cell>
          <cell r="G140" t="str">
            <v>20-81-00251</v>
          </cell>
          <cell r="H140" t="str">
            <v>2.372x2.243</v>
          </cell>
          <cell r="I140" t="str">
            <v>11X15</v>
          </cell>
          <cell r="K140" t="str">
            <v>32nm 32Gb EX3</v>
          </cell>
          <cell r="L140" t="str">
            <v>32</v>
          </cell>
        </row>
        <row r="141">
          <cell r="C141" t="str">
            <v>54-62-06050-004G</v>
          </cell>
          <cell r="D141" t="str">
            <v>54-82-06050-004G</v>
          </cell>
          <cell r="E141" t="str">
            <v>54-81-00471</v>
          </cell>
          <cell r="F141" t="str">
            <v>12.218X9.0</v>
          </cell>
          <cell r="G141" t="str">
            <v>20-81-00277</v>
          </cell>
          <cell r="H141" t="str">
            <v>3.211X1.301</v>
          </cell>
          <cell r="I141" t="str">
            <v>11X15</v>
          </cell>
          <cell r="K141" t="str">
            <v>32nm 32Gb EX3</v>
          </cell>
          <cell r="L141" t="str">
            <v>32</v>
          </cell>
        </row>
        <row r="142">
          <cell r="C142" t="str">
            <v>54-62-06047-004G</v>
          </cell>
          <cell r="D142" t="str">
            <v>54-82-06047-004G</v>
          </cell>
          <cell r="E142" t="str">
            <v>54-81-00471</v>
          </cell>
          <cell r="F142" t="str">
            <v>12.218X9.0</v>
          </cell>
          <cell r="G142" t="str">
            <v>20-81-00277</v>
          </cell>
          <cell r="H142" t="str">
            <v>3.211X1.301</v>
          </cell>
          <cell r="I142" t="str">
            <v>11X15</v>
          </cell>
          <cell r="K142" t="str">
            <v>32nm 32Gb EX3</v>
          </cell>
          <cell r="L142" t="str">
            <v>32</v>
          </cell>
        </row>
        <row r="143">
          <cell r="C143" t="str">
            <v>54-62-06049-004G</v>
          </cell>
          <cell r="D143" t="str">
            <v>54-82-06049-004G</v>
          </cell>
          <cell r="E143" t="str">
            <v>54-81-00471</v>
          </cell>
          <cell r="F143" t="str">
            <v>12.218X9.0</v>
          </cell>
          <cell r="G143" t="str">
            <v>20-81-00277</v>
          </cell>
          <cell r="H143" t="str">
            <v>3.211X1.301</v>
          </cell>
          <cell r="I143" t="str">
            <v>11X15</v>
          </cell>
          <cell r="K143" t="str">
            <v>32nm 32Gb EX3</v>
          </cell>
          <cell r="L143" t="str">
            <v>32</v>
          </cell>
        </row>
        <row r="144">
          <cell r="C144" t="str">
            <v>54-62-06021-004G</v>
          </cell>
          <cell r="D144" t="str">
            <v>54-82-06021-004G</v>
          </cell>
          <cell r="E144" t="str">
            <v>54-81-00477</v>
          </cell>
          <cell r="F144" t="str">
            <v>12.218X9.0</v>
          </cell>
          <cell r="G144" t="str">
            <v>20-81-00251</v>
          </cell>
          <cell r="H144" t="str">
            <v>2.372x2.243</v>
          </cell>
          <cell r="I144" t="str">
            <v>11X15</v>
          </cell>
          <cell r="K144" t="str">
            <v>32nm 32Gb EX3</v>
          </cell>
          <cell r="L144" t="str">
            <v>32</v>
          </cell>
        </row>
        <row r="145">
          <cell r="C145" t="str">
            <v>54-62-03488-004G</v>
          </cell>
          <cell r="D145" t="str">
            <v>54-82-03488-004G</v>
          </cell>
          <cell r="E145" t="str">
            <v>54-81-00344</v>
          </cell>
          <cell r="F145" t="str">
            <v>11.045x7.826</v>
          </cell>
          <cell r="G145" t="str">
            <v>20-81-00123</v>
          </cell>
          <cell r="H145" t="str">
            <v>2.773X3.230</v>
          </cell>
          <cell r="I145" t="str">
            <v>11X15</v>
          </cell>
          <cell r="K145" t="str">
            <v>32nm 16Gb D2</v>
          </cell>
          <cell r="L145" t="str">
            <v>32</v>
          </cell>
        </row>
        <row r="146">
          <cell r="C146" t="str">
            <v>54-62-05852-004G</v>
          </cell>
          <cell r="D146" t="str">
            <v>54-82-05852-004G</v>
          </cell>
          <cell r="E146" t="str">
            <v>54-81-00354</v>
          </cell>
          <cell r="F146" t="str">
            <v>12.218X9.0</v>
          </cell>
          <cell r="G146" t="str">
            <v>20-81-00251</v>
          </cell>
          <cell r="H146" t="str">
            <v>2.372x2.243</v>
          </cell>
          <cell r="I146" t="str">
            <v>11X15</v>
          </cell>
          <cell r="K146" t="str">
            <v>32nm 32Gb EX3</v>
          </cell>
          <cell r="L146" t="str">
            <v>32</v>
          </cell>
        </row>
        <row r="147">
          <cell r="C147" t="str">
            <v>54-62-05855-004G</v>
          </cell>
          <cell r="D147" t="str">
            <v>54-82-05855-004G</v>
          </cell>
          <cell r="E147" t="str">
            <v>54-81-00354</v>
          </cell>
          <cell r="F147" t="str">
            <v>12.218X9.0</v>
          </cell>
          <cell r="G147" t="str">
            <v>20-81-00251</v>
          </cell>
          <cell r="H147" t="str">
            <v>2.372x2.243</v>
          </cell>
          <cell r="I147" t="str">
            <v>11X15</v>
          </cell>
          <cell r="K147" t="str">
            <v>32nm 32Gb EX3</v>
          </cell>
          <cell r="L147" t="str">
            <v>32</v>
          </cell>
        </row>
        <row r="148">
          <cell r="C148" t="str">
            <v>54-62-06022-004G</v>
          </cell>
          <cell r="D148" t="str">
            <v>54-82-06022-004G</v>
          </cell>
          <cell r="E148" t="str">
            <v>54-81-00471</v>
          </cell>
          <cell r="F148" t="str">
            <v>12.218X9.0</v>
          </cell>
          <cell r="G148" t="str">
            <v>20-81-00251</v>
          </cell>
          <cell r="H148" t="str">
            <v>2.372x2.243</v>
          </cell>
          <cell r="I148" t="str">
            <v>11X15</v>
          </cell>
          <cell r="K148" t="str">
            <v>32nm 32Gb EX3</v>
          </cell>
          <cell r="L148" t="str">
            <v>32</v>
          </cell>
        </row>
        <row r="149">
          <cell r="C149" t="str">
            <v>54-62-06023-004G</v>
          </cell>
          <cell r="D149" t="str">
            <v>54-82-06023-004G</v>
          </cell>
          <cell r="E149" t="str">
            <v>54-81-00471</v>
          </cell>
          <cell r="F149" t="str">
            <v>12.218X9.0</v>
          </cell>
          <cell r="G149" t="str">
            <v>20-81-00251</v>
          </cell>
          <cell r="H149" t="str">
            <v>2.372x2.243</v>
          </cell>
          <cell r="I149" t="str">
            <v>11X15</v>
          </cell>
          <cell r="K149" t="str">
            <v>32nm 32Gb EX3</v>
          </cell>
          <cell r="L149" t="str">
            <v>32</v>
          </cell>
        </row>
        <row r="150">
          <cell r="C150" t="str">
            <v>54-62-06758-004G</v>
          </cell>
          <cell r="D150" t="str">
            <v>54-82-06758-004G</v>
          </cell>
          <cell r="E150" t="str">
            <v>54-81-00354</v>
          </cell>
          <cell r="F150" t="str">
            <v>12.218X9.0</v>
          </cell>
          <cell r="G150" t="str">
            <v>20-81-00251</v>
          </cell>
          <cell r="H150" t="str">
            <v>2.372x2.243</v>
          </cell>
          <cell r="I150" t="str">
            <v>11X15</v>
          </cell>
          <cell r="K150" t="str">
            <v>32nm 32Gb EX3</v>
          </cell>
          <cell r="L150" t="str">
            <v>32</v>
          </cell>
        </row>
        <row r="151">
          <cell r="C151" t="str">
            <v>54-62-06650-004G</v>
          </cell>
          <cell r="D151" t="str">
            <v>54-82-06650-004G</v>
          </cell>
          <cell r="E151" t="str">
            <v>54-81-00354</v>
          </cell>
          <cell r="F151" t="str">
            <v>12.218X9.0</v>
          </cell>
          <cell r="G151" t="str">
            <v>20-81-00251</v>
          </cell>
          <cell r="H151" t="str">
            <v>2.372x2.243</v>
          </cell>
          <cell r="I151" t="str">
            <v>11X15</v>
          </cell>
          <cell r="K151" t="str">
            <v>32nm 32Gb EX3</v>
          </cell>
          <cell r="L151" t="str">
            <v>32</v>
          </cell>
        </row>
        <row r="152">
          <cell r="C152" t="str">
            <v>54-62-06661-004G</v>
          </cell>
          <cell r="D152" t="str">
            <v>54-82-06661-004G</v>
          </cell>
          <cell r="E152" t="str">
            <v>54-81-00354</v>
          </cell>
          <cell r="F152" t="str">
            <v>12.218X9.0</v>
          </cell>
          <cell r="G152" t="str">
            <v>20-81-00251</v>
          </cell>
          <cell r="H152" t="str">
            <v>2.372x2.243</v>
          </cell>
          <cell r="I152" t="str">
            <v>11X15</v>
          </cell>
          <cell r="K152" t="str">
            <v>32nm 32Gb EX3</v>
          </cell>
          <cell r="L152" t="str">
            <v>32</v>
          </cell>
        </row>
        <row r="153">
          <cell r="C153" t="str">
            <v>54-62-06020-004G</v>
          </cell>
          <cell r="D153" t="str">
            <v>54-82-06020-004G</v>
          </cell>
          <cell r="E153" t="str">
            <v>54-81-00354</v>
          </cell>
          <cell r="F153" t="str">
            <v>12.218X9.0</v>
          </cell>
          <cell r="G153" t="str">
            <v>20-81-00251</v>
          </cell>
          <cell r="H153" t="str">
            <v>2.372x2.243</v>
          </cell>
          <cell r="I153" t="str">
            <v>11X15</v>
          </cell>
          <cell r="K153" t="str">
            <v>32nm 32Gb EX3</v>
          </cell>
          <cell r="L153" t="str">
            <v>32</v>
          </cell>
        </row>
        <row r="154">
          <cell r="C154" t="str">
            <v>54-62-06601-004G</v>
          </cell>
          <cell r="D154" t="str">
            <v>54-82-06601-004G</v>
          </cell>
          <cell r="E154" t="str">
            <v>54-81-00450</v>
          </cell>
          <cell r="F154" t="str">
            <v>11.045x7.826</v>
          </cell>
          <cell r="G154" t="str">
            <v>20-81-00123</v>
          </cell>
          <cell r="H154" t="str">
            <v>2.773X3.230</v>
          </cell>
          <cell r="I154" t="str">
            <v>11X15A</v>
          </cell>
          <cell r="K154" t="str">
            <v>32nm 16Gb D2</v>
          </cell>
          <cell r="L154" t="str">
            <v>32</v>
          </cell>
        </row>
        <row r="155">
          <cell r="C155" t="str">
            <v>54-62-04380-004G</v>
          </cell>
          <cell r="D155" t="str">
            <v>54-82-04380-004G</v>
          </cell>
          <cell r="E155" t="str">
            <v>54-81-00387</v>
          </cell>
          <cell r="F155" t="str">
            <v>12.247X9.215</v>
          </cell>
          <cell r="G155" t="str">
            <v>20-81-00290</v>
          </cell>
          <cell r="H155" t="str">
            <v>3.592X1.845</v>
          </cell>
          <cell r="I155" t="str">
            <v>11X15</v>
          </cell>
          <cell r="K155" t="str">
            <v>32nm 32Gb D3</v>
          </cell>
          <cell r="L155" t="str">
            <v>32</v>
          </cell>
        </row>
        <row r="156">
          <cell r="C156" t="str">
            <v>54-62-06033-004G</v>
          </cell>
          <cell r="D156" t="str">
            <v>54-82-06033-004G</v>
          </cell>
          <cell r="E156" t="str">
            <v>54-81-00387</v>
          </cell>
          <cell r="F156" t="str">
            <v>12.247X9.215</v>
          </cell>
          <cell r="G156" t="str">
            <v>20-81-00290</v>
          </cell>
          <cell r="H156" t="str">
            <v>3.592X1.845</v>
          </cell>
          <cell r="I156" t="str">
            <v>11X15</v>
          </cell>
          <cell r="K156" t="str">
            <v>32nm 32Gb D3</v>
          </cell>
          <cell r="L156" t="str">
            <v>32</v>
          </cell>
        </row>
        <row r="157">
          <cell r="C157" t="str">
            <v>54-82-06111-004G</v>
          </cell>
          <cell r="D157" t="str">
            <v>54-82-06111-004G</v>
          </cell>
          <cell r="E157" t="str">
            <v>54-81-00387</v>
          </cell>
          <cell r="F157" t="str">
            <v>12.247X9.215</v>
          </cell>
          <cell r="G157" t="str">
            <v>20-81-00276</v>
          </cell>
          <cell r="H157" t="str">
            <v>3.592X1.845</v>
          </cell>
          <cell r="I157" t="str">
            <v>11X15</v>
          </cell>
          <cell r="K157" t="str">
            <v>32nm 32Gb D3</v>
          </cell>
          <cell r="L157" t="str">
            <v>32</v>
          </cell>
        </row>
        <row r="158">
          <cell r="C158" t="str">
            <v>54-62-05968-004G</v>
          </cell>
          <cell r="D158" t="str">
            <v>54-82-05968-004G</v>
          </cell>
          <cell r="E158" t="str">
            <v>54-81-00387</v>
          </cell>
          <cell r="F158" t="str">
            <v>12.247X9.215</v>
          </cell>
          <cell r="G158" t="str">
            <v>20-81-00290</v>
          </cell>
          <cell r="H158" t="str">
            <v>3.592X1.845</v>
          </cell>
          <cell r="I158" t="str">
            <v>11X15</v>
          </cell>
          <cell r="K158" t="str">
            <v>32nm 32Gb D3</v>
          </cell>
          <cell r="L158" t="str">
            <v>32</v>
          </cell>
        </row>
        <row r="159">
          <cell r="C159" t="str">
            <v>54-82-06158-004G</v>
          </cell>
          <cell r="D159" t="str">
            <v>54-82-06158-004G</v>
          </cell>
          <cell r="E159" t="str">
            <v>54-81-00387</v>
          </cell>
          <cell r="F159" t="str">
            <v>12.247X9.215</v>
          </cell>
          <cell r="G159" t="str">
            <v>20-81-00276</v>
          </cell>
          <cell r="H159" t="str">
            <v>3.592X1.845</v>
          </cell>
          <cell r="I159" t="str">
            <v>11X15</v>
          </cell>
          <cell r="K159" t="str">
            <v>32nm 32Gb D3</v>
          </cell>
          <cell r="L159" t="str">
            <v>32</v>
          </cell>
        </row>
        <row r="160">
          <cell r="C160" t="str">
            <v>54-62-05970-004G</v>
          </cell>
          <cell r="D160" t="str">
            <v>54-82-05970-004G</v>
          </cell>
          <cell r="E160" t="str">
            <v>54-81-00387</v>
          </cell>
          <cell r="F160" t="str">
            <v>12.247X9.215</v>
          </cell>
          <cell r="G160" t="str">
            <v>20-81-00276</v>
          </cell>
          <cell r="H160" t="str">
            <v>3.592X1.845</v>
          </cell>
          <cell r="I160" t="str">
            <v>11X15</v>
          </cell>
          <cell r="K160" t="str">
            <v>32nm 32Gb D3</v>
          </cell>
          <cell r="L160" t="str">
            <v>32</v>
          </cell>
        </row>
        <row r="161">
          <cell r="C161" t="str">
            <v>54-62-05987-004G</v>
          </cell>
          <cell r="D161" t="str">
            <v>54-82-05987-004G</v>
          </cell>
          <cell r="E161" t="str">
            <v>54-81-00387</v>
          </cell>
          <cell r="F161" t="str">
            <v>12.247X9.215</v>
          </cell>
          <cell r="G161" t="str">
            <v>20-81-00290</v>
          </cell>
          <cell r="H161" t="str">
            <v>3.592X1.845</v>
          </cell>
          <cell r="I161" t="str">
            <v>11X15</v>
          </cell>
          <cell r="K161" t="str">
            <v>32nm 32Gb D3</v>
          </cell>
          <cell r="L161" t="str">
            <v>32</v>
          </cell>
        </row>
        <row r="162">
          <cell r="C162" t="str">
            <v>54-62-05971-004G</v>
          </cell>
          <cell r="D162" t="str">
            <v>54-82-05971-004G</v>
          </cell>
          <cell r="E162" t="str">
            <v>54-81-00387</v>
          </cell>
          <cell r="F162" t="str">
            <v>12.247X9.215</v>
          </cell>
          <cell r="G162" t="str">
            <v>20-81-00252</v>
          </cell>
          <cell r="H162" t="str">
            <v>3.592X1.845</v>
          </cell>
          <cell r="I162" t="str">
            <v>11X15</v>
          </cell>
          <cell r="K162" t="str">
            <v>32nm 32Gb D3</v>
          </cell>
          <cell r="L162" t="str">
            <v>32</v>
          </cell>
        </row>
        <row r="163">
          <cell r="C163" t="str">
            <v>54-62-04379-004G</v>
          </cell>
          <cell r="D163" t="str">
            <v>54-82-04379-004G</v>
          </cell>
          <cell r="E163" t="str">
            <v>54-81-00382</v>
          </cell>
          <cell r="F163" t="str">
            <v>12.247X9.215</v>
          </cell>
          <cell r="G163" t="str">
            <v>20-81-00290</v>
          </cell>
          <cell r="H163" t="str">
            <v>3.592X1.845</v>
          </cell>
          <cell r="I163" t="str">
            <v>11X15</v>
          </cell>
          <cell r="K163" t="str">
            <v>32nm 32Gb D3</v>
          </cell>
          <cell r="L163" t="str">
            <v>32</v>
          </cell>
        </row>
        <row r="164">
          <cell r="C164" t="str">
            <v>54-62-04378-004G</v>
          </cell>
          <cell r="D164" t="str">
            <v>54-82-04378-004G</v>
          </cell>
          <cell r="E164" t="str">
            <v>54-81-00340</v>
          </cell>
          <cell r="F164" t="str">
            <v>12.247X9.215</v>
          </cell>
          <cell r="G164" t="str">
            <v>20-81-00290</v>
          </cell>
          <cell r="H164" t="str">
            <v>3.592X1.845</v>
          </cell>
          <cell r="I164" t="str">
            <v>11X15</v>
          </cell>
          <cell r="K164" t="str">
            <v>32nm 32Gb D3</v>
          </cell>
          <cell r="L164" t="str">
            <v>32</v>
          </cell>
        </row>
        <row r="165">
          <cell r="C165" t="str">
            <v>54-62-04383-004G</v>
          </cell>
          <cell r="D165" t="str">
            <v>54-82-04383-004G</v>
          </cell>
          <cell r="E165" t="str">
            <v>54-81-00382</v>
          </cell>
          <cell r="F165" t="str">
            <v>12.247X9.215</v>
          </cell>
          <cell r="G165" t="str">
            <v>20-81-00252</v>
          </cell>
          <cell r="H165" t="str">
            <v>3.592X1.845</v>
          </cell>
          <cell r="I165" t="str">
            <v>11X15</v>
          </cell>
          <cell r="J165" t="e">
            <v>#N/A</v>
          </cell>
          <cell r="K165" t="str">
            <v>32nm 32Gb D3</v>
          </cell>
          <cell r="L165" t="str">
            <v>32</v>
          </cell>
        </row>
        <row r="166">
          <cell r="C166" t="str">
            <v>54-62-05718-004G</v>
          </cell>
          <cell r="D166" t="str">
            <v>54-82-05718-004G</v>
          </cell>
          <cell r="E166" t="str">
            <v>54-81-00380</v>
          </cell>
          <cell r="F166" t="str">
            <v>12.247X9.215</v>
          </cell>
          <cell r="G166" t="str">
            <v>20-81-00252</v>
          </cell>
          <cell r="H166" t="str">
            <v>3.592X1.845</v>
          </cell>
          <cell r="I166" t="str">
            <v>11X15</v>
          </cell>
          <cell r="K166" t="str">
            <v>32nm 32Gb D3</v>
          </cell>
          <cell r="L166" t="str">
            <v>32</v>
          </cell>
        </row>
        <row r="167">
          <cell r="C167" t="str">
            <v>54-62-05609-004G</v>
          </cell>
          <cell r="D167" t="str">
            <v>54-82-05609-004G</v>
          </cell>
          <cell r="E167" t="str">
            <v>54-81-00382</v>
          </cell>
          <cell r="F167" t="str">
            <v>12.247X9.215</v>
          </cell>
          <cell r="G167" t="str">
            <v>20-81-00252</v>
          </cell>
          <cell r="H167" t="str">
            <v>3.592X1.845</v>
          </cell>
          <cell r="I167" t="str">
            <v>11X15</v>
          </cell>
          <cell r="K167" t="str">
            <v>32nm 32Gb D3</v>
          </cell>
          <cell r="L167" t="str">
            <v>32</v>
          </cell>
        </row>
        <row r="168">
          <cell r="C168" t="str">
            <v>54-62-04384-004G</v>
          </cell>
          <cell r="D168" t="str">
            <v>54-82-04384-004G</v>
          </cell>
          <cell r="E168" t="str">
            <v>54-81-00382</v>
          </cell>
          <cell r="F168" t="str">
            <v>12.247X9.215</v>
          </cell>
          <cell r="G168" t="str">
            <v>20-81-00290</v>
          </cell>
          <cell r="H168" t="str">
            <v>3.592X1.845</v>
          </cell>
          <cell r="I168" t="str">
            <v>11X15</v>
          </cell>
          <cell r="K168" t="str">
            <v>32nm 32Gb D3</v>
          </cell>
          <cell r="L168" t="str">
            <v>32</v>
          </cell>
        </row>
        <row r="169">
          <cell r="C169" t="str">
            <v>54-62-04615-004G</v>
          </cell>
          <cell r="D169" t="str">
            <v>54-82-04615-004G</v>
          </cell>
          <cell r="E169" t="str">
            <v>54-81-00340</v>
          </cell>
          <cell r="F169" t="str">
            <v>12.247X9.215</v>
          </cell>
          <cell r="G169" t="str">
            <v>20-81-00290</v>
          </cell>
          <cell r="H169" t="str">
            <v>3.592X1.845</v>
          </cell>
          <cell r="I169" t="str">
            <v>11X15</v>
          </cell>
          <cell r="K169" t="str">
            <v>32nm 32Gb D3</v>
          </cell>
          <cell r="L169" t="str">
            <v>32</v>
          </cell>
        </row>
        <row r="170">
          <cell r="C170" t="str">
            <v>54-62-05607-004G</v>
          </cell>
          <cell r="D170" t="str">
            <v>54-82-05607-004G</v>
          </cell>
          <cell r="E170" t="str">
            <v>54-81-00382</v>
          </cell>
          <cell r="F170" t="str">
            <v>12.247X9.215</v>
          </cell>
          <cell r="G170" t="str">
            <v>20-81-00252</v>
          </cell>
          <cell r="H170" t="str">
            <v>3.592X1.845</v>
          </cell>
          <cell r="I170" t="str">
            <v>11X15</v>
          </cell>
          <cell r="K170" t="str">
            <v>32nm 32Gb D3</v>
          </cell>
          <cell r="L170" t="str">
            <v>32</v>
          </cell>
        </row>
        <row r="171">
          <cell r="C171" t="str">
            <v>54-62-04689-004G</v>
          </cell>
          <cell r="D171" t="str">
            <v>54-82-04689-004G</v>
          </cell>
          <cell r="E171" t="str">
            <v>54-81-00382</v>
          </cell>
          <cell r="F171" t="str">
            <v>12.247X9.215</v>
          </cell>
          <cell r="G171" t="str">
            <v>20-81-00252</v>
          </cell>
          <cell r="H171" t="str">
            <v>3.592X1.845</v>
          </cell>
          <cell r="I171" t="str">
            <v>11X15</v>
          </cell>
          <cell r="K171" t="str">
            <v>32nm 32Gb D3</v>
          </cell>
          <cell r="L171" t="str">
            <v>32</v>
          </cell>
        </row>
        <row r="172">
          <cell r="C172" t="str">
            <v>54-62-04527-004G</v>
          </cell>
          <cell r="D172" t="str">
            <v>54-82-04527-004G</v>
          </cell>
          <cell r="E172" t="str">
            <v>54-81-00340</v>
          </cell>
          <cell r="F172" t="str">
            <v>12.247X9.215</v>
          </cell>
          <cell r="G172" t="str">
            <v>20-81-00252</v>
          </cell>
          <cell r="H172" t="str">
            <v>3.592X1.845</v>
          </cell>
          <cell r="I172" t="str">
            <v>11X15</v>
          </cell>
          <cell r="K172" t="str">
            <v>32nm 32Gb D3</v>
          </cell>
          <cell r="L172" t="str">
            <v>32</v>
          </cell>
        </row>
        <row r="173">
          <cell r="C173" t="str">
            <v>54-62-04179-004G</v>
          </cell>
          <cell r="D173" t="str">
            <v>54-82-04179-004G</v>
          </cell>
          <cell r="E173" t="str">
            <v>54-81-00340</v>
          </cell>
          <cell r="F173" t="str">
            <v>12.247X9.215</v>
          </cell>
          <cell r="G173" t="str">
            <v>20-81-00252</v>
          </cell>
          <cell r="H173" t="str">
            <v>3.592X1.845</v>
          </cell>
          <cell r="I173" t="str">
            <v>11X15</v>
          </cell>
          <cell r="K173" t="str">
            <v>32nm 32Gb D3</v>
          </cell>
          <cell r="L173" t="str">
            <v>32</v>
          </cell>
        </row>
        <row r="174">
          <cell r="C174" t="str">
            <v>54-62-04147-004G</v>
          </cell>
          <cell r="D174" t="str">
            <v>54-82-04147-004G</v>
          </cell>
          <cell r="E174" t="str">
            <v>54-81-00340</v>
          </cell>
          <cell r="F174" t="str">
            <v>12.247X9.215</v>
          </cell>
          <cell r="G174" t="str">
            <v>20-81-00252</v>
          </cell>
          <cell r="H174" t="str">
            <v>3.592X1.845</v>
          </cell>
          <cell r="I174" t="str">
            <v>11X15</v>
          </cell>
          <cell r="K174" t="str">
            <v>32nm 32Gb D3</v>
          </cell>
          <cell r="L174" t="str">
            <v>32</v>
          </cell>
        </row>
        <row r="175">
          <cell r="C175" t="str">
            <v>54-62-08700-008G</v>
          </cell>
          <cell r="D175" t="str">
            <v>54-82-08700-008G</v>
          </cell>
          <cell r="E175" t="str">
            <v>54-81-00471</v>
          </cell>
          <cell r="F175" t="str">
            <v>12.218X9.0</v>
          </cell>
          <cell r="G175" t="str">
            <v>20-81-00251</v>
          </cell>
          <cell r="H175" t="str">
            <v>2.372x2.243</v>
          </cell>
          <cell r="I175" t="str">
            <v>11X15B</v>
          </cell>
          <cell r="K175" t="str">
            <v>32nm 32Gb EX3</v>
          </cell>
          <cell r="L175" t="str">
            <v>32</v>
          </cell>
        </row>
        <row r="176">
          <cell r="C176" t="str">
            <v>54-62-06603-008G</v>
          </cell>
          <cell r="D176" t="str">
            <v>54-82-06603-008G</v>
          </cell>
          <cell r="E176" t="str">
            <v>54-81-00433</v>
          </cell>
          <cell r="F176" t="str">
            <v>12.218X9.0</v>
          </cell>
          <cell r="G176" t="str">
            <v>20-81-00277</v>
          </cell>
          <cell r="H176" t="str">
            <v>3.211X1.301</v>
          </cell>
          <cell r="I176" t="str">
            <v>11X15</v>
          </cell>
          <cell r="K176" t="str">
            <v>32nm 32Gb EX3</v>
          </cell>
          <cell r="L176" t="str">
            <v>32</v>
          </cell>
        </row>
        <row r="177">
          <cell r="C177" t="str">
            <v>54-62-06649-008G</v>
          </cell>
          <cell r="D177" t="str">
            <v>54-82-06649-008G</v>
          </cell>
          <cell r="E177" t="str">
            <v>54-81-00477</v>
          </cell>
          <cell r="F177" t="str">
            <v>12.218X9.0</v>
          </cell>
          <cell r="G177" t="str">
            <v>20-81-00277</v>
          </cell>
          <cell r="H177" t="str">
            <v>3.211X1.301</v>
          </cell>
          <cell r="I177" t="str">
            <v>11X15</v>
          </cell>
          <cell r="K177" t="str">
            <v>32nm 32Gb EX3</v>
          </cell>
          <cell r="L177" t="str">
            <v>32</v>
          </cell>
        </row>
        <row r="178">
          <cell r="C178" t="str">
            <v>54-62-06022-008G</v>
          </cell>
          <cell r="D178" t="str">
            <v>54-82-06022-008G</v>
          </cell>
          <cell r="E178" t="str">
            <v>54-81-00477</v>
          </cell>
          <cell r="F178" t="str">
            <v>12.218X9.0</v>
          </cell>
          <cell r="G178" t="str">
            <v>20-81-00251</v>
          </cell>
          <cell r="H178" t="str">
            <v>2.372x2.243</v>
          </cell>
          <cell r="I178" t="str">
            <v>11X15</v>
          </cell>
          <cell r="K178" t="str">
            <v>32nm 32Gb EX3</v>
          </cell>
          <cell r="L178" t="str">
            <v>32</v>
          </cell>
        </row>
        <row r="179">
          <cell r="C179" t="str">
            <v>54-62-06049-008G</v>
          </cell>
          <cell r="D179" t="str">
            <v>54-82-06049-008G</v>
          </cell>
          <cell r="E179" t="str">
            <v>54-81-00354</v>
          </cell>
          <cell r="F179" t="str">
            <v>12.218X9.0</v>
          </cell>
          <cell r="G179" t="str">
            <v>20-81-00277</v>
          </cell>
          <cell r="H179" t="str">
            <v>3.211X1.301</v>
          </cell>
          <cell r="I179" t="str">
            <v>11X15</v>
          </cell>
          <cell r="K179" t="str">
            <v>32nm 32Gb EX3</v>
          </cell>
          <cell r="L179" t="str">
            <v>32</v>
          </cell>
        </row>
        <row r="180">
          <cell r="C180" t="str">
            <v>54-62-06050-008G</v>
          </cell>
          <cell r="D180" t="str">
            <v>54-82-06050-008G</v>
          </cell>
          <cell r="E180" t="str">
            <v>54-81-00477</v>
          </cell>
          <cell r="F180" t="str">
            <v>12.218X9.0</v>
          </cell>
          <cell r="G180" t="str">
            <v>20-81-00277</v>
          </cell>
          <cell r="H180" t="str">
            <v>3.211X1.301</v>
          </cell>
          <cell r="I180" t="str">
            <v>11X15</v>
          </cell>
          <cell r="K180" t="str">
            <v>32nm 32Gb EX3</v>
          </cell>
          <cell r="L180" t="str">
            <v>32</v>
          </cell>
        </row>
        <row r="181">
          <cell r="C181" t="str">
            <v>54-62-06604-008G</v>
          </cell>
          <cell r="D181" t="str">
            <v>54-82-06604-008G</v>
          </cell>
          <cell r="E181" t="str">
            <v>54-81-00394</v>
          </cell>
          <cell r="F181" t="str">
            <v>12.218X9.0</v>
          </cell>
          <cell r="G181" t="str">
            <v>20-81-00277</v>
          </cell>
          <cell r="H181" t="str">
            <v>3.211X1.301</v>
          </cell>
          <cell r="I181" t="str">
            <v>11X15</v>
          </cell>
          <cell r="K181" t="str">
            <v>32nm 32Gb EX3</v>
          </cell>
          <cell r="L181" t="str">
            <v>32</v>
          </cell>
        </row>
        <row r="182">
          <cell r="C182" t="str">
            <v>54-62-06048-008G</v>
          </cell>
          <cell r="D182" t="str">
            <v>54-82-06048-008G</v>
          </cell>
          <cell r="E182" t="str">
            <v>54-81-00471</v>
          </cell>
          <cell r="F182" t="str">
            <v>12.218X9.0</v>
          </cell>
          <cell r="G182" t="str">
            <v>20-81-00277</v>
          </cell>
          <cell r="H182" t="str">
            <v>3.211X1.301</v>
          </cell>
          <cell r="I182" t="str">
            <v>11X15</v>
          </cell>
          <cell r="K182" t="str">
            <v>32nm 32Gb EX3</v>
          </cell>
          <cell r="L182" t="str">
            <v>32</v>
          </cell>
        </row>
        <row r="183">
          <cell r="C183" t="str">
            <v>54-62-05745-008G</v>
          </cell>
          <cell r="D183" t="str">
            <v>54-82-05745-008G</v>
          </cell>
          <cell r="E183" t="str">
            <v>54-81-00477</v>
          </cell>
          <cell r="F183" t="str">
            <v>12.218X9.0</v>
          </cell>
          <cell r="G183" t="str">
            <v>20-81-00251</v>
          </cell>
          <cell r="H183" t="str">
            <v>2.372x2.243</v>
          </cell>
          <cell r="I183" t="str">
            <v>11X15</v>
          </cell>
          <cell r="K183" t="str">
            <v>32nm 32Gb EX3</v>
          </cell>
          <cell r="L183" t="str">
            <v>32</v>
          </cell>
        </row>
        <row r="184">
          <cell r="C184" t="str">
            <v>54-62-06047-008G</v>
          </cell>
          <cell r="D184" t="str">
            <v>54-82-06047-008G</v>
          </cell>
          <cell r="E184" t="str">
            <v>54-81-00477</v>
          </cell>
          <cell r="F184" t="str">
            <v>12.218X9.0</v>
          </cell>
          <cell r="G184" t="str">
            <v>20-81-00277</v>
          </cell>
          <cell r="H184" t="str">
            <v>3.211X1.301</v>
          </cell>
          <cell r="I184" t="str">
            <v>11X15</v>
          </cell>
          <cell r="K184" t="str">
            <v>32nm 32Gb EX3</v>
          </cell>
          <cell r="L184" t="str">
            <v>32</v>
          </cell>
        </row>
        <row r="185">
          <cell r="C185" t="str">
            <v>54-82-06628-008G</v>
          </cell>
          <cell r="D185" t="str">
            <v>54-82-06628-008G</v>
          </cell>
          <cell r="E185" t="str">
            <v>54-81-00450</v>
          </cell>
          <cell r="F185" t="str">
            <v>11.045x7.826</v>
          </cell>
          <cell r="G185" t="str">
            <v>20-81-00123</v>
          </cell>
          <cell r="H185" t="str">
            <v>2.773X3.230</v>
          </cell>
          <cell r="I185" t="str">
            <v>11X15</v>
          </cell>
          <cell r="K185" t="str">
            <v>32nm 16Gb D2</v>
          </cell>
          <cell r="L185" t="str">
            <v>32</v>
          </cell>
        </row>
        <row r="186">
          <cell r="C186" t="str">
            <v>54-62-05853-008G</v>
          </cell>
          <cell r="D186" t="str">
            <v>54-82-05853-008G</v>
          </cell>
          <cell r="E186" t="str">
            <v>54-81-00477</v>
          </cell>
          <cell r="F186" t="str">
            <v>12.218X9.0</v>
          </cell>
          <cell r="G186" t="str">
            <v>20-81-00251</v>
          </cell>
          <cell r="H186" t="str">
            <v>2.372x2.243</v>
          </cell>
          <cell r="I186" t="str">
            <v>11X15</v>
          </cell>
          <cell r="K186" t="str">
            <v>32nm 32Gb EX3</v>
          </cell>
          <cell r="L186" t="str">
            <v>32</v>
          </cell>
        </row>
        <row r="187">
          <cell r="C187" t="str">
            <v>54-62-06021-008G</v>
          </cell>
          <cell r="D187" t="str">
            <v>54-82-06021-008G</v>
          </cell>
          <cell r="E187" t="str">
            <v>54-81-00471</v>
          </cell>
          <cell r="F187" t="str">
            <v>12.218X9.0</v>
          </cell>
          <cell r="G187" t="str">
            <v>20-81-00251</v>
          </cell>
          <cell r="H187" t="str">
            <v>2.372x2.243</v>
          </cell>
          <cell r="I187" t="str">
            <v>11X15</v>
          </cell>
          <cell r="K187" t="str">
            <v>32nm 32Gb EX3</v>
          </cell>
          <cell r="L187" t="str">
            <v>32</v>
          </cell>
        </row>
        <row r="188">
          <cell r="C188" t="str">
            <v>54-62-06024-008G</v>
          </cell>
          <cell r="D188" t="str">
            <v>54-82-06024-008G</v>
          </cell>
          <cell r="E188" t="str">
            <v>54-81-00354</v>
          </cell>
          <cell r="F188" t="str">
            <v>12.218X9.0</v>
          </cell>
          <cell r="G188" t="str">
            <v>20-81-00251</v>
          </cell>
          <cell r="H188" t="str">
            <v>2.372x2.243</v>
          </cell>
          <cell r="I188" t="str">
            <v>11X15</v>
          </cell>
          <cell r="K188" t="str">
            <v>32nm 32Gb EX3</v>
          </cell>
          <cell r="L188" t="str">
            <v>32</v>
          </cell>
        </row>
        <row r="189">
          <cell r="C189" t="str">
            <v>54-62-05855-008G</v>
          </cell>
          <cell r="D189" t="str">
            <v>54-82-05855-008G</v>
          </cell>
          <cell r="E189" t="str">
            <v>54-81-00354</v>
          </cell>
          <cell r="F189" t="str">
            <v>12.218X9.0</v>
          </cell>
          <cell r="G189" t="str">
            <v>20-81-00251</v>
          </cell>
          <cell r="H189" t="str">
            <v>2.372x2.243</v>
          </cell>
          <cell r="I189" t="str">
            <v>11X15</v>
          </cell>
          <cell r="K189" t="str">
            <v>32nm 32Gb EX3</v>
          </cell>
          <cell r="L189" t="str">
            <v>32</v>
          </cell>
        </row>
        <row r="190">
          <cell r="C190" t="str">
            <v>54-62-06758-008G</v>
          </cell>
          <cell r="D190" t="str">
            <v>54-82-06758-008G</v>
          </cell>
          <cell r="E190" t="str">
            <v>54-81-00354</v>
          </cell>
          <cell r="F190" t="str">
            <v>12.218X9.0</v>
          </cell>
          <cell r="G190" t="str">
            <v>20-81-00251</v>
          </cell>
          <cell r="H190" t="str">
            <v>2.372x2.243</v>
          </cell>
          <cell r="I190" t="str">
            <v>11X15</v>
          </cell>
          <cell r="K190" t="str">
            <v>32nm 32Gb EX3</v>
          </cell>
          <cell r="L190" t="str">
            <v>32</v>
          </cell>
        </row>
        <row r="191">
          <cell r="C191" t="str">
            <v>54-62-06023-008G</v>
          </cell>
          <cell r="D191" t="str">
            <v>54-82-06023-008G</v>
          </cell>
          <cell r="E191" t="str">
            <v>54-81-00354</v>
          </cell>
          <cell r="F191" t="str">
            <v>12.218X9.0</v>
          </cell>
          <cell r="G191" t="str">
            <v>20-81-00251</v>
          </cell>
          <cell r="H191" t="str">
            <v>2.372x2.243</v>
          </cell>
          <cell r="I191" t="str">
            <v>11X15</v>
          </cell>
          <cell r="K191" t="str">
            <v>32nm 32Gb EX3</v>
          </cell>
          <cell r="L191" t="str">
            <v>32</v>
          </cell>
        </row>
        <row r="192">
          <cell r="C192" t="str">
            <v>54-62-05852-008G</v>
          </cell>
          <cell r="D192" t="str">
            <v>54-82-05852-008G</v>
          </cell>
          <cell r="E192" t="str">
            <v>54-81-00354</v>
          </cell>
          <cell r="F192" t="str">
            <v>12.218X9.0</v>
          </cell>
          <cell r="G192" t="str">
            <v>20-81-00251</v>
          </cell>
          <cell r="H192" t="str">
            <v>2.372x2.243</v>
          </cell>
          <cell r="I192" t="str">
            <v>11X15</v>
          </cell>
          <cell r="K192" t="str">
            <v>32nm 32Gb EX3</v>
          </cell>
          <cell r="L192" t="str">
            <v>32</v>
          </cell>
        </row>
        <row r="193">
          <cell r="C193" t="str">
            <v>54-62-06661-008G</v>
          </cell>
          <cell r="D193" t="str">
            <v>54-82-06661-008G</v>
          </cell>
          <cell r="E193" t="str">
            <v>54-81-00354</v>
          </cell>
          <cell r="F193" t="str">
            <v>12.218X9.0</v>
          </cell>
          <cell r="G193" t="str">
            <v>20-81-00251</v>
          </cell>
          <cell r="H193" t="str">
            <v>2.372x2.243</v>
          </cell>
          <cell r="I193" t="str">
            <v>11X15</v>
          </cell>
          <cell r="K193" t="str">
            <v>32nm 32Gb EX3</v>
          </cell>
          <cell r="L193" t="str">
            <v>32</v>
          </cell>
        </row>
        <row r="194">
          <cell r="C194" t="str">
            <v>54-62-06020-008G</v>
          </cell>
          <cell r="D194" t="str">
            <v>54-82-06020-008G</v>
          </cell>
          <cell r="E194" t="str">
            <v>54-81-00354</v>
          </cell>
          <cell r="F194" t="str">
            <v>12.218X9.0</v>
          </cell>
          <cell r="G194" t="str">
            <v>20-81-00251</v>
          </cell>
          <cell r="H194" t="str">
            <v>2.372x2.243</v>
          </cell>
          <cell r="I194" t="str">
            <v>11X15</v>
          </cell>
          <cell r="K194" t="str">
            <v>32nm 32Gb EX3</v>
          </cell>
          <cell r="L194" t="str">
            <v>32</v>
          </cell>
        </row>
        <row r="195">
          <cell r="C195" t="str">
            <v>54-62-06030-008G</v>
          </cell>
          <cell r="D195" t="str">
            <v>54-82-06030-008G</v>
          </cell>
          <cell r="E195" t="str">
            <v>54-81-00387</v>
          </cell>
          <cell r="F195" t="str">
            <v>12.247X9.215</v>
          </cell>
          <cell r="G195" t="str">
            <v>20-81-00290</v>
          </cell>
          <cell r="H195" t="str">
            <v>3.592X1.845</v>
          </cell>
          <cell r="I195" t="str">
            <v>11X15</v>
          </cell>
          <cell r="K195" t="str">
            <v>32nm 32Gb D3</v>
          </cell>
          <cell r="L195" t="str">
            <v>32</v>
          </cell>
        </row>
        <row r="196">
          <cell r="C196" t="str">
            <v>54-62-06033-008G</v>
          </cell>
          <cell r="D196" t="str">
            <v>54-82-06033-008G</v>
          </cell>
          <cell r="E196" t="str">
            <v>54-81-00387</v>
          </cell>
          <cell r="F196" t="str">
            <v>12.247X9.215</v>
          </cell>
          <cell r="G196" t="str">
            <v>20-81-00290</v>
          </cell>
          <cell r="H196" t="str">
            <v>3.592X1.845</v>
          </cell>
          <cell r="I196" t="str">
            <v>11X15</v>
          </cell>
          <cell r="K196" t="str">
            <v>32nm 32Gb D3</v>
          </cell>
          <cell r="L196" t="str">
            <v>32</v>
          </cell>
        </row>
        <row r="197">
          <cell r="C197" t="str">
            <v>54-62-05987-008G</v>
          </cell>
          <cell r="D197" t="str">
            <v>54-82-05987-008G</v>
          </cell>
          <cell r="E197" t="str">
            <v>54-81-00387</v>
          </cell>
          <cell r="F197" t="str">
            <v>12.247X9.215</v>
          </cell>
          <cell r="G197" t="str">
            <v>20-81-00276</v>
          </cell>
          <cell r="H197" t="str">
            <v>3.592X1.845</v>
          </cell>
          <cell r="I197" t="str">
            <v>11X15</v>
          </cell>
          <cell r="K197" t="str">
            <v>32nm 32Gb D3</v>
          </cell>
          <cell r="L197" t="str">
            <v>32</v>
          </cell>
        </row>
        <row r="198">
          <cell r="C198" t="str">
            <v>54-62-06032-008G</v>
          </cell>
          <cell r="D198" t="str">
            <v>54-82-06032-008G</v>
          </cell>
          <cell r="E198" t="str">
            <v>54-81-00387</v>
          </cell>
          <cell r="F198" t="str">
            <v>12.247X9.215</v>
          </cell>
          <cell r="G198" t="str">
            <v>20-81-00290</v>
          </cell>
          <cell r="H198" t="str">
            <v>3.592X1.845</v>
          </cell>
          <cell r="I198" t="str">
            <v>11X15</v>
          </cell>
          <cell r="K198" t="str">
            <v>32nm 32Gb D3</v>
          </cell>
          <cell r="L198" t="str">
            <v>32</v>
          </cell>
        </row>
        <row r="199">
          <cell r="C199" t="str">
            <v>54-62-05968-008G</v>
          </cell>
          <cell r="D199" t="str">
            <v>54-82-05968-008G</v>
          </cell>
          <cell r="E199" t="str">
            <v>54-81-00387</v>
          </cell>
          <cell r="F199" t="str">
            <v>12.247X9.215</v>
          </cell>
          <cell r="G199" t="str">
            <v>20-81-00290</v>
          </cell>
          <cell r="H199" t="str">
            <v>3.592X1.845</v>
          </cell>
          <cell r="I199" t="str">
            <v>11X15</v>
          </cell>
          <cell r="K199" t="str">
            <v>32nm 32Gb D3</v>
          </cell>
          <cell r="L199" t="str">
            <v>32</v>
          </cell>
        </row>
        <row r="200">
          <cell r="C200" t="str">
            <v>54-62-05970-008G</v>
          </cell>
          <cell r="D200" t="str">
            <v>54-82-05970-008G</v>
          </cell>
          <cell r="E200" t="str">
            <v>54-81-00387</v>
          </cell>
          <cell r="F200" t="str">
            <v>12.247X9.215</v>
          </cell>
          <cell r="G200" t="str">
            <v>20-81-00290</v>
          </cell>
          <cell r="H200" t="str">
            <v>3.592X1.845</v>
          </cell>
          <cell r="I200" t="str">
            <v>11X15</v>
          </cell>
          <cell r="K200" t="str">
            <v>32nm 32Gb D3</v>
          </cell>
          <cell r="L200" t="str">
            <v>32</v>
          </cell>
        </row>
        <row r="201">
          <cell r="C201" t="str">
            <v>54-62-04380-008G</v>
          </cell>
          <cell r="D201" t="str">
            <v>54-82-04380-008G</v>
          </cell>
          <cell r="E201" t="str">
            <v>54-81-00470</v>
          </cell>
          <cell r="F201" t="str">
            <v>12.247X9.215</v>
          </cell>
          <cell r="G201" t="str">
            <v>20-81-00290</v>
          </cell>
          <cell r="H201" t="str">
            <v>3.592X1.845</v>
          </cell>
          <cell r="I201" t="str">
            <v>11X15</v>
          </cell>
          <cell r="K201" t="str">
            <v>32nm 32Gb D3</v>
          </cell>
          <cell r="L201" t="str">
            <v>32</v>
          </cell>
        </row>
        <row r="202">
          <cell r="C202" t="str">
            <v>54-62-05971-008G</v>
          </cell>
          <cell r="D202" t="str">
            <v>54-82-05971-008G</v>
          </cell>
          <cell r="E202" t="str">
            <v>54-81-00387</v>
          </cell>
          <cell r="F202" t="str">
            <v>12.247X9.215</v>
          </cell>
          <cell r="G202" t="str">
            <v>20-81-00252</v>
          </cell>
          <cell r="H202" t="str">
            <v>3.592X1.845</v>
          </cell>
          <cell r="I202" t="str">
            <v>11X15</v>
          </cell>
          <cell r="K202" t="str">
            <v>32nm 32Gb D3</v>
          </cell>
          <cell r="L202" t="str">
            <v>32</v>
          </cell>
        </row>
        <row r="203">
          <cell r="C203" t="str">
            <v>54-62-05718-008G</v>
          </cell>
          <cell r="D203" t="str">
            <v>54-82-05718-008G</v>
          </cell>
          <cell r="E203" t="str">
            <v>54-81-00382</v>
          </cell>
          <cell r="F203" t="str">
            <v>12.247X9.215</v>
          </cell>
          <cell r="G203" t="str">
            <v>20-81-00252</v>
          </cell>
          <cell r="H203" t="str">
            <v>3.592X1.845</v>
          </cell>
          <cell r="I203" t="str">
            <v>11X15</v>
          </cell>
          <cell r="K203" t="str">
            <v>32nm 32Gb D3</v>
          </cell>
          <cell r="L203" t="str">
            <v>32</v>
          </cell>
        </row>
        <row r="204">
          <cell r="C204" t="str">
            <v>54-62-05798-008G</v>
          </cell>
          <cell r="D204" t="str">
            <v>54-82-05798-008G</v>
          </cell>
          <cell r="E204" t="str">
            <v>54-81-00382</v>
          </cell>
          <cell r="F204" t="str">
            <v>12.247X9.215</v>
          </cell>
          <cell r="G204" t="str">
            <v>20-81-00290</v>
          </cell>
          <cell r="H204" t="str">
            <v>3.592X1.845</v>
          </cell>
          <cell r="I204" t="str">
            <v>11X15</v>
          </cell>
          <cell r="K204" t="str">
            <v>32nm 32Gb D3</v>
          </cell>
          <cell r="L204" t="str">
            <v>32</v>
          </cell>
        </row>
        <row r="205">
          <cell r="C205" t="str">
            <v>54-62-04378-008G</v>
          </cell>
          <cell r="D205" t="str">
            <v>54-82-04378-008G</v>
          </cell>
          <cell r="E205" t="str">
            <v>54-81-00382</v>
          </cell>
          <cell r="F205" t="str">
            <v>12.247X9.215</v>
          </cell>
          <cell r="G205" t="str">
            <v>20-81-00290</v>
          </cell>
          <cell r="H205" t="str">
            <v>3.592X1.845</v>
          </cell>
          <cell r="I205" t="str">
            <v>11X15</v>
          </cell>
          <cell r="K205" t="str">
            <v>32nm 32Gb D3</v>
          </cell>
          <cell r="L205" t="str">
            <v>32</v>
          </cell>
        </row>
        <row r="206">
          <cell r="C206" t="str">
            <v>54-62-04384-008G</v>
          </cell>
          <cell r="D206" t="str">
            <v>54-82-04384-008G</v>
          </cell>
          <cell r="E206" t="str">
            <v>54-81-00382</v>
          </cell>
          <cell r="F206" t="str">
            <v>12.247X9.215</v>
          </cell>
          <cell r="G206" t="str">
            <v>20-81-00290</v>
          </cell>
          <cell r="H206" t="str">
            <v>3.592X1.845</v>
          </cell>
          <cell r="I206" t="str">
            <v>11X15</v>
          </cell>
          <cell r="K206" t="str">
            <v>32nm 32Gb D3</v>
          </cell>
          <cell r="L206" t="str">
            <v>32</v>
          </cell>
        </row>
        <row r="207">
          <cell r="C207" t="str">
            <v>54-82-04383-008G</v>
          </cell>
          <cell r="D207" t="str">
            <v>54-82-04383-008G</v>
          </cell>
          <cell r="E207" t="str">
            <v>54-81-00380</v>
          </cell>
          <cell r="F207" t="str">
            <v>12.247X9.215</v>
          </cell>
          <cell r="G207" t="str">
            <v>20-81-00290</v>
          </cell>
          <cell r="H207" t="str">
            <v>3.592X1.845</v>
          </cell>
          <cell r="I207" t="str">
            <v>11X15</v>
          </cell>
          <cell r="J207" t="e">
            <v>#N/A</v>
          </cell>
          <cell r="K207" t="str">
            <v>32nm 32Gb D3</v>
          </cell>
          <cell r="L207" t="str">
            <v>32</v>
          </cell>
        </row>
        <row r="208">
          <cell r="C208" t="str">
            <v>54-62-04615-008G</v>
          </cell>
          <cell r="D208" t="str">
            <v>54-82-04615-008G</v>
          </cell>
          <cell r="E208" t="str">
            <v>54-81-00382</v>
          </cell>
          <cell r="F208" t="str">
            <v>12.247X9.215</v>
          </cell>
          <cell r="G208" t="str">
            <v>20-81-00290</v>
          </cell>
          <cell r="H208" t="str">
            <v>3.592X1.845</v>
          </cell>
          <cell r="I208" t="str">
            <v>11X15</v>
          </cell>
          <cell r="K208" t="str">
            <v>32nm 32Gb D3</v>
          </cell>
          <cell r="L208" t="str">
            <v>32</v>
          </cell>
        </row>
        <row r="209">
          <cell r="C209" t="str">
            <v>54-62-04353-008G</v>
          </cell>
          <cell r="D209" t="str">
            <v>54-82-04353-008G</v>
          </cell>
          <cell r="E209" t="str">
            <v>54-81-00382</v>
          </cell>
          <cell r="F209" t="str">
            <v>12.247X9.215</v>
          </cell>
          <cell r="G209" t="str">
            <v>20-81-00290</v>
          </cell>
          <cell r="H209" t="str">
            <v>3.592X1.845</v>
          </cell>
          <cell r="I209" t="str">
            <v>11X15</v>
          </cell>
          <cell r="K209" t="str">
            <v>32nm 32Gb D3</v>
          </cell>
          <cell r="L209" t="str">
            <v>32</v>
          </cell>
        </row>
        <row r="210">
          <cell r="C210" t="str">
            <v>54-62-04379-008G</v>
          </cell>
          <cell r="D210" t="str">
            <v>54-82-04379-008G</v>
          </cell>
          <cell r="E210" t="str">
            <v>54-81-00340</v>
          </cell>
          <cell r="F210" t="str">
            <v>12.247X9.215</v>
          </cell>
          <cell r="G210" t="str">
            <v>20-81-00290</v>
          </cell>
          <cell r="H210" t="str">
            <v>3.592X1.845</v>
          </cell>
          <cell r="I210" t="str">
            <v>11X15</v>
          </cell>
          <cell r="K210" t="str">
            <v>32nm 32Gb D3</v>
          </cell>
          <cell r="L210" t="str">
            <v>32</v>
          </cell>
        </row>
        <row r="211">
          <cell r="C211" t="str">
            <v>54-62-05609-008G</v>
          </cell>
          <cell r="D211" t="str">
            <v>54-82-05609-008G</v>
          </cell>
          <cell r="E211" t="str">
            <v>54-81-00340</v>
          </cell>
          <cell r="F211" t="str">
            <v>12.247X9.215</v>
          </cell>
          <cell r="G211" t="str">
            <v>20-81-00252</v>
          </cell>
          <cell r="H211" t="str">
            <v>3.592X1.845</v>
          </cell>
          <cell r="I211" t="str">
            <v>11X15</v>
          </cell>
          <cell r="K211" t="str">
            <v>32nm 32Gb D3</v>
          </cell>
          <cell r="L211" t="str">
            <v>32</v>
          </cell>
        </row>
        <row r="212">
          <cell r="C212" t="str">
            <v>54-62-05607-008G</v>
          </cell>
          <cell r="D212" t="str">
            <v>54-82-05607-008G</v>
          </cell>
          <cell r="E212" t="str">
            <v>54-81-00382</v>
          </cell>
          <cell r="F212" t="str">
            <v>12.247X9.215</v>
          </cell>
          <cell r="G212" t="str">
            <v>20-81-00252</v>
          </cell>
          <cell r="H212" t="str">
            <v>3.592X1.845</v>
          </cell>
          <cell r="I212" t="str">
            <v>11X15</v>
          </cell>
          <cell r="K212" t="str">
            <v>32nm 32Gb D3</v>
          </cell>
          <cell r="L212" t="str">
            <v>32</v>
          </cell>
        </row>
        <row r="213">
          <cell r="C213" t="str">
            <v>54-62-04689-008G</v>
          </cell>
          <cell r="D213" t="str">
            <v>54-82-04689-008G</v>
          </cell>
          <cell r="E213" t="str">
            <v>54-81-00382</v>
          </cell>
          <cell r="F213" t="str">
            <v>12.247X9.215</v>
          </cell>
          <cell r="G213" t="str">
            <v>20-81-00252</v>
          </cell>
          <cell r="H213" t="str">
            <v>3.592X1.845</v>
          </cell>
          <cell r="I213" t="str">
            <v>11X15</v>
          </cell>
          <cell r="K213" t="str">
            <v>32nm 32Gb D3</v>
          </cell>
          <cell r="L213" t="str">
            <v>32</v>
          </cell>
        </row>
        <row r="214">
          <cell r="C214" t="str">
            <v>54-62-04179-008G</v>
          </cell>
          <cell r="D214" t="str">
            <v>54-82-04179-008G</v>
          </cell>
          <cell r="E214" t="str">
            <v>54-81-00340</v>
          </cell>
          <cell r="F214" t="str">
            <v>12.247X9.215</v>
          </cell>
          <cell r="G214" t="str">
            <v>20-81-00252</v>
          </cell>
          <cell r="H214" t="str">
            <v>3.592X1.845</v>
          </cell>
          <cell r="I214" t="str">
            <v>11X15</v>
          </cell>
          <cell r="K214" t="str">
            <v>32nm 32Gb D3</v>
          </cell>
          <cell r="L214" t="str">
            <v>32</v>
          </cell>
        </row>
        <row r="215">
          <cell r="C215" t="str">
            <v>54-62-04527-008G</v>
          </cell>
          <cell r="D215" t="str">
            <v>54-82-04527-008G</v>
          </cell>
          <cell r="E215" t="str">
            <v>54-81-00340</v>
          </cell>
          <cell r="F215" t="str">
            <v>12.247X9.215</v>
          </cell>
          <cell r="G215" t="str">
            <v>20-81-00252</v>
          </cell>
          <cell r="H215" t="str">
            <v>3.592X1.845</v>
          </cell>
          <cell r="I215" t="str">
            <v>11X15</v>
          </cell>
          <cell r="K215" t="str">
            <v>32nm 32Gb D3</v>
          </cell>
          <cell r="L215" t="str">
            <v>32</v>
          </cell>
        </row>
        <row r="216">
          <cell r="C216" t="str">
            <v>54-62-04147-008G</v>
          </cell>
          <cell r="D216" t="str">
            <v>54-82-04147-008G</v>
          </cell>
          <cell r="E216" t="str">
            <v>54-81-00382</v>
          </cell>
          <cell r="F216" t="str">
            <v>12.247X9.215</v>
          </cell>
          <cell r="G216" t="str">
            <v>20-81-00252</v>
          </cell>
          <cell r="H216" t="str">
            <v>3.592X1.845</v>
          </cell>
          <cell r="I216" t="str">
            <v>11X15</v>
          </cell>
          <cell r="K216" t="str">
            <v>32nm 32Gb D3</v>
          </cell>
          <cell r="L216" t="str">
            <v>32</v>
          </cell>
        </row>
        <row r="217">
          <cell r="C217" t="str">
            <v>54-62-06660-008G</v>
          </cell>
          <cell r="D217" t="str">
            <v>54-82-06660-008G</v>
          </cell>
          <cell r="E217" t="str">
            <v>54-81-00477</v>
          </cell>
          <cell r="F217" t="str">
            <v>12.218X9.0</v>
          </cell>
          <cell r="G217" t="str">
            <v>20-81-00277</v>
          </cell>
          <cell r="H217" t="str">
            <v>3.211X1.301</v>
          </cell>
          <cell r="I217" t="str">
            <v>11X15</v>
          </cell>
          <cell r="K217" t="str">
            <v>32nm 32Gb EX3</v>
          </cell>
          <cell r="L217" t="str">
            <v>32</v>
          </cell>
        </row>
        <row r="218">
          <cell r="C218" t="str">
            <v>54-62-08088-008G</v>
          </cell>
          <cell r="D218" t="str">
            <v>54-82-08088-008G</v>
          </cell>
          <cell r="E218" t="str">
            <v>54-81-00465</v>
          </cell>
          <cell r="F218" t="str">
            <v>12.590x9.440</v>
          </cell>
          <cell r="G218" t="str">
            <v>20-81-00303</v>
          </cell>
          <cell r="H218" t="str">
            <v>3.456x1.361</v>
          </cell>
          <cell r="I218" t="str">
            <v>11X15</v>
          </cell>
          <cell r="K218" t="str">
            <v>24nm 64Gb EX3</v>
          </cell>
          <cell r="L218" t="str">
            <v>24</v>
          </cell>
        </row>
        <row r="219">
          <cell r="C219" t="str">
            <v>54-62-08098-008G</v>
          </cell>
          <cell r="D219" t="str">
            <v>54-82-08098-008G</v>
          </cell>
          <cell r="E219" t="str">
            <v>54-81-00465</v>
          </cell>
          <cell r="F219" t="str">
            <v>12.590x9.440</v>
          </cell>
          <cell r="G219" t="str">
            <v>20-81-00303</v>
          </cell>
          <cell r="H219" t="str">
            <v>3.456x1.361</v>
          </cell>
          <cell r="I219" t="str">
            <v>11X15</v>
          </cell>
          <cell r="K219" t="str">
            <v>24nm 64Gb EX3</v>
          </cell>
          <cell r="L219" t="str">
            <v>24</v>
          </cell>
        </row>
        <row r="220">
          <cell r="C220" t="str">
            <v>54-62-08000-008G</v>
          </cell>
          <cell r="D220" t="str">
            <v>54-82-08000-008G</v>
          </cell>
          <cell r="E220" t="str">
            <v>54-81-00465</v>
          </cell>
          <cell r="F220" t="str">
            <v>12.590x9.440</v>
          </cell>
          <cell r="G220" t="str">
            <v>20-81-00303</v>
          </cell>
          <cell r="H220" t="str">
            <v>3.456x1.361</v>
          </cell>
          <cell r="I220" t="str">
            <v>11X15</v>
          </cell>
          <cell r="K220" t="str">
            <v>24nm 64Gb EX3</v>
          </cell>
          <cell r="L220" t="str">
            <v>24</v>
          </cell>
        </row>
        <row r="221">
          <cell r="C221" t="str">
            <v>54-62-08068-008G</v>
          </cell>
          <cell r="D221" t="str">
            <v>54-82-08068-008G</v>
          </cell>
          <cell r="E221" t="str">
            <v>54-81-00465</v>
          </cell>
          <cell r="F221" t="str">
            <v>12.590x9.440</v>
          </cell>
          <cell r="G221" t="str">
            <v>20-81-00303</v>
          </cell>
          <cell r="H221" t="str">
            <v>3.456x1.361</v>
          </cell>
          <cell r="I221" t="str">
            <v>11X15</v>
          </cell>
          <cell r="K221" t="str">
            <v>24nm 64Gb EX3</v>
          </cell>
          <cell r="L221" t="str">
            <v>24</v>
          </cell>
        </row>
        <row r="222">
          <cell r="C222" t="str">
            <v>54-62-08301-008G</v>
          </cell>
          <cell r="D222" t="str">
            <v>54-82-08301-008G</v>
          </cell>
          <cell r="E222" t="str">
            <v>54-81-00465</v>
          </cell>
          <cell r="F222" t="str">
            <v>12.590x9.440</v>
          </cell>
          <cell r="G222" t="str">
            <v>20-81-00303</v>
          </cell>
          <cell r="H222" t="str">
            <v>3.456x1.361</v>
          </cell>
          <cell r="I222" t="str">
            <v>11X15</v>
          </cell>
          <cell r="K222" t="str">
            <v>24nm 64Gb EX3</v>
          </cell>
          <cell r="L222" t="str">
            <v>24</v>
          </cell>
        </row>
        <row r="223">
          <cell r="C223" t="str">
            <v>54-62-08353-008G</v>
          </cell>
          <cell r="D223" t="str">
            <v>54-82-08353-008G</v>
          </cell>
          <cell r="E223" t="str">
            <v>54-81-00465</v>
          </cell>
          <cell r="F223" t="str">
            <v>12.590x9.440</v>
          </cell>
          <cell r="G223" t="str">
            <v>20-81-00277</v>
          </cell>
          <cell r="H223" t="str">
            <v>3.211X1.301</v>
          </cell>
          <cell r="I223" t="str">
            <v>11X15</v>
          </cell>
          <cell r="K223" t="str">
            <v>24nm 64Gb EX3</v>
          </cell>
          <cell r="L223" t="str">
            <v>24</v>
          </cell>
        </row>
        <row r="224">
          <cell r="C224" t="str">
            <v>54-62-08141-008G</v>
          </cell>
          <cell r="D224" t="str">
            <v>54-82-08141-008G</v>
          </cell>
          <cell r="E224" t="str">
            <v>54-81-00465</v>
          </cell>
          <cell r="F224" t="str">
            <v>12.590x9.440</v>
          </cell>
          <cell r="G224" t="str">
            <v>20-81-00303</v>
          </cell>
          <cell r="H224" t="str">
            <v>3.456x1.361</v>
          </cell>
          <cell r="I224" t="str">
            <v>11X15</v>
          </cell>
          <cell r="K224" t="str">
            <v>24nm 64Gb EX3</v>
          </cell>
          <cell r="L224" t="str">
            <v>24</v>
          </cell>
        </row>
        <row r="225">
          <cell r="C225" t="str">
            <v>54-62-08087-008G</v>
          </cell>
          <cell r="D225" t="str">
            <v>54-82-08087-008G</v>
          </cell>
          <cell r="E225" t="str">
            <v>54-81-00465</v>
          </cell>
          <cell r="F225" t="str">
            <v>12.590x9.440</v>
          </cell>
          <cell r="G225" t="str">
            <v>20-81-00303</v>
          </cell>
          <cell r="H225" t="str">
            <v>3.456x1.361</v>
          </cell>
          <cell r="I225" t="str">
            <v>11X15</v>
          </cell>
          <cell r="K225" t="str">
            <v>24nm 64Gb EX3</v>
          </cell>
          <cell r="L225" t="str">
            <v>24</v>
          </cell>
        </row>
        <row r="226">
          <cell r="C226" t="str">
            <v>54-62-06852-008G</v>
          </cell>
          <cell r="D226" t="str">
            <v>54-82-06852-008G</v>
          </cell>
          <cell r="E226" t="str">
            <v>54-81-00403</v>
          </cell>
          <cell r="F226" t="str">
            <v>12.590x9.440</v>
          </cell>
          <cell r="G226" t="str">
            <v>20-81-00277</v>
          </cell>
          <cell r="H226" t="str">
            <v>3.211X1.301</v>
          </cell>
          <cell r="I226" t="str">
            <v>11X15</v>
          </cell>
          <cell r="K226" t="str">
            <v>24nm 64Gb EX3</v>
          </cell>
          <cell r="L226" t="str">
            <v>24</v>
          </cell>
        </row>
        <row r="227">
          <cell r="C227" t="str">
            <v>54-62-08805-016G</v>
          </cell>
          <cell r="D227" t="str">
            <v>54-82-08805-016G</v>
          </cell>
          <cell r="E227" t="str">
            <v>54-81-00465</v>
          </cell>
          <cell r="F227" t="str">
            <v>12.590x9.440</v>
          </cell>
          <cell r="G227" t="str">
            <v>20-81-00303</v>
          </cell>
          <cell r="H227" t="str">
            <v>3.456x1.361</v>
          </cell>
          <cell r="I227" t="str">
            <v>11X15</v>
          </cell>
          <cell r="J227" t="e">
            <v>#N/A</v>
          </cell>
          <cell r="K227" t="str">
            <v>24nm 64Gb EX3</v>
          </cell>
          <cell r="L227" t="str">
            <v>24</v>
          </cell>
        </row>
        <row r="228">
          <cell r="C228" t="str">
            <v>54-62-08505-016G</v>
          </cell>
          <cell r="D228" t="str">
            <v>54-82-08505-016G</v>
          </cell>
          <cell r="E228" t="str">
            <v>54-81-00465</v>
          </cell>
          <cell r="F228" t="str">
            <v>12.590x9.440</v>
          </cell>
          <cell r="G228" t="str">
            <v>20-81-00303</v>
          </cell>
          <cell r="H228" t="str">
            <v>3.456x1.361</v>
          </cell>
          <cell r="I228" t="str">
            <v>11X15</v>
          </cell>
          <cell r="K228" t="str">
            <v>24nm 64Gb EX3</v>
          </cell>
          <cell r="L228" t="str">
            <v>24</v>
          </cell>
        </row>
        <row r="229">
          <cell r="C229" t="str">
            <v>54-62-08651-016G</v>
          </cell>
          <cell r="D229" t="str">
            <v>54-82-08651-016G</v>
          </cell>
          <cell r="E229" t="str">
            <v>54-81-00465</v>
          </cell>
          <cell r="F229" t="str">
            <v>12.590x9.440</v>
          </cell>
          <cell r="G229" t="str">
            <v>20-81-00303</v>
          </cell>
          <cell r="H229" t="str">
            <v>3.456x1.361</v>
          </cell>
          <cell r="I229" t="str">
            <v>11X15A</v>
          </cell>
          <cell r="K229" t="str">
            <v>24nm 64Gb EX3</v>
          </cell>
          <cell r="L229" t="str">
            <v>24</v>
          </cell>
        </row>
        <row r="230">
          <cell r="C230" t="str">
            <v>54-62-08000-016G</v>
          </cell>
          <cell r="D230" t="str">
            <v>54-82-08000-016G</v>
          </cell>
          <cell r="E230" t="str">
            <v>54-81-00465</v>
          </cell>
          <cell r="F230" t="str">
            <v>12.590x9.440</v>
          </cell>
          <cell r="G230" t="str">
            <v>20-81-00303</v>
          </cell>
          <cell r="H230" t="str">
            <v>3.456x1.361</v>
          </cell>
          <cell r="I230" t="str">
            <v>11X15</v>
          </cell>
          <cell r="K230" t="str">
            <v>24nm 64Gb EX3</v>
          </cell>
          <cell r="L230" t="str">
            <v>24</v>
          </cell>
        </row>
        <row r="231">
          <cell r="C231" t="str">
            <v>54-62-08012-016G</v>
          </cell>
          <cell r="D231" t="str">
            <v>54-82-08012-016G</v>
          </cell>
          <cell r="E231" t="str">
            <v>54-81-00465</v>
          </cell>
          <cell r="F231" t="str">
            <v>12.590x9.440</v>
          </cell>
          <cell r="G231" t="str">
            <v>20-81-00303</v>
          </cell>
          <cell r="H231" t="str">
            <v>3.456x1.361</v>
          </cell>
          <cell r="I231" t="str">
            <v>11X15</v>
          </cell>
          <cell r="K231" t="str">
            <v>24nm 64Gb EX3</v>
          </cell>
          <cell r="L231" t="str">
            <v>24</v>
          </cell>
        </row>
        <row r="232">
          <cell r="C232" t="str">
            <v>54-62-06571-016G</v>
          </cell>
          <cell r="D232" t="str">
            <v>54-82-06571-016G</v>
          </cell>
          <cell r="E232" t="str">
            <v>54-81-00465</v>
          </cell>
          <cell r="F232" t="str">
            <v>12.590x9.440</v>
          </cell>
          <cell r="G232" t="str">
            <v>20-81-00303</v>
          </cell>
          <cell r="H232" t="str">
            <v>3.456x1.361</v>
          </cell>
          <cell r="I232" t="str">
            <v>11X15</v>
          </cell>
          <cell r="K232" t="str">
            <v>24nm 64Gb EX3</v>
          </cell>
          <cell r="L232" t="str">
            <v>24</v>
          </cell>
        </row>
        <row r="233">
          <cell r="C233" t="str">
            <v>54-62-06835-016G</v>
          </cell>
          <cell r="D233" t="str">
            <v>54-82-06835-016G</v>
          </cell>
          <cell r="E233" t="str">
            <v>54-81-00465</v>
          </cell>
          <cell r="F233" t="str">
            <v>12.590x9.440</v>
          </cell>
          <cell r="G233" t="str">
            <v>20-81-00303</v>
          </cell>
          <cell r="H233" t="str">
            <v>3.456x1.361</v>
          </cell>
          <cell r="I233" t="str">
            <v>11X15</v>
          </cell>
          <cell r="K233" t="str">
            <v>24nm 64Gb EX3</v>
          </cell>
          <cell r="L233" t="str">
            <v>24</v>
          </cell>
        </row>
        <row r="234">
          <cell r="C234" t="str">
            <v>54-62-08001-016G</v>
          </cell>
          <cell r="D234" t="str">
            <v>54-82-08001-016G</v>
          </cell>
          <cell r="E234" t="str">
            <v>54-81-00465</v>
          </cell>
          <cell r="F234" t="str">
            <v>12.590x9.440</v>
          </cell>
          <cell r="G234" t="str">
            <v>20-81-00303</v>
          </cell>
          <cell r="H234" t="str">
            <v>3.456x1.361</v>
          </cell>
          <cell r="I234" t="str">
            <v>11X15</v>
          </cell>
          <cell r="K234" t="str">
            <v>24nm 64Gb EX3</v>
          </cell>
          <cell r="L234" t="str">
            <v>24</v>
          </cell>
        </row>
        <row r="235">
          <cell r="C235" t="str">
            <v>54-62-08002-016G</v>
          </cell>
          <cell r="D235" t="str">
            <v>54-82-08002-016G</v>
          </cell>
          <cell r="E235" t="str">
            <v>54-81-00465</v>
          </cell>
          <cell r="F235" t="str">
            <v>12.590x9.440</v>
          </cell>
          <cell r="G235" t="str">
            <v>20-81-00303</v>
          </cell>
          <cell r="H235" t="str">
            <v>3.456x1.361</v>
          </cell>
          <cell r="I235" t="str">
            <v>11X15</v>
          </cell>
          <cell r="K235" t="str">
            <v>24nm 64Gb EX3</v>
          </cell>
          <cell r="L235" t="str">
            <v>24</v>
          </cell>
        </row>
        <row r="236">
          <cell r="C236" t="str">
            <v>54-62-08014-016G</v>
          </cell>
          <cell r="D236" t="str">
            <v>54-82-08014-016G</v>
          </cell>
          <cell r="E236" t="str">
            <v>54-81-00465</v>
          </cell>
          <cell r="F236" t="str">
            <v>12.590x9.440</v>
          </cell>
          <cell r="G236" t="str">
            <v>20-81-00303</v>
          </cell>
          <cell r="H236" t="str">
            <v>3.456x1.361</v>
          </cell>
          <cell r="I236" t="str">
            <v>11X15</v>
          </cell>
          <cell r="K236" t="str">
            <v>24nm 64Gb EX3</v>
          </cell>
          <cell r="L236" t="str">
            <v>24</v>
          </cell>
        </row>
        <row r="237">
          <cell r="C237" t="str">
            <v>54-62-08068-016G</v>
          </cell>
          <cell r="D237" t="str">
            <v>54-82-08068-016G</v>
          </cell>
          <cell r="E237" t="str">
            <v>54-81-00465</v>
          </cell>
          <cell r="F237" t="str">
            <v>12.590x9.440</v>
          </cell>
          <cell r="G237" t="str">
            <v>20-81-00303</v>
          </cell>
          <cell r="H237" t="str">
            <v>3.456x1.361</v>
          </cell>
          <cell r="I237" t="str">
            <v>11X15</v>
          </cell>
          <cell r="K237" t="str">
            <v>24nm 64Gb EX3</v>
          </cell>
          <cell r="L237" t="str">
            <v>24</v>
          </cell>
        </row>
        <row r="238">
          <cell r="C238" t="str">
            <v>54-62-08206-016G</v>
          </cell>
          <cell r="D238" t="str">
            <v>54-82-08206-016G</v>
          </cell>
          <cell r="E238" t="str">
            <v>54-81-00465</v>
          </cell>
          <cell r="F238" t="str">
            <v>12.590x9.440</v>
          </cell>
          <cell r="G238" t="str">
            <v>20-81-00303</v>
          </cell>
          <cell r="H238" t="str">
            <v>3.456x1.361</v>
          </cell>
          <cell r="I238" t="str">
            <v>11X15</v>
          </cell>
          <cell r="K238" t="str">
            <v>24nm 64Gb EX3</v>
          </cell>
          <cell r="L238" t="str">
            <v>24</v>
          </cell>
        </row>
        <row r="239">
          <cell r="C239" t="str">
            <v>54-62-08301-016G</v>
          </cell>
          <cell r="D239" t="str">
            <v>54-82-08301-016G</v>
          </cell>
          <cell r="E239" t="str">
            <v>54-81-00465</v>
          </cell>
          <cell r="F239" t="str">
            <v>12.590x9.440</v>
          </cell>
          <cell r="G239" t="str">
            <v>20-81-00303</v>
          </cell>
          <cell r="H239" t="str">
            <v>3.456x1.361</v>
          </cell>
          <cell r="I239" t="str">
            <v>11X15</v>
          </cell>
          <cell r="K239" t="str">
            <v>24nm 64Gb EX3</v>
          </cell>
          <cell r="L239" t="str">
            <v>24</v>
          </cell>
        </row>
        <row r="240">
          <cell r="C240" t="str">
            <v>54-62-08354-016G</v>
          </cell>
          <cell r="D240" t="str">
            <v>54-82-08354-016G</v>
          </cell>
          <cell r="E240" t="str">
            <v>54-81-00465</v>
          </cell>
          <cell r="F240" t="str">
            <v>12.590x9.440</v>
          </cell>
          <cell r="G240" t="str">
            <v>20-81-00277</v>
          </cell>
          <cell r="H240" t="str">
            <v>3.211X1.301</v>
          </cell>
          <cell r="I240" t="str">
            <v>11X15</v>
          </cell>
          <cell r="K240" t="str">
            <v>24nm 64Gb EX3</v>
          </cell>
          <cell r="L240" t="str">
            <v>24</v>
          </cell>
        </row>
        <row r="241">
          <cell r="C241" t="str">
            <v>54-62-06851-016G</v>
          </cell>
          <cell r="D241" t="str">
            <v>54-82-06851-016G</v>
          </cell>
          <cell r="E241" t="str">
            <v>54-81-00403</v>
          </cell>
          <cell r="F241" t="str">
            <v>12.590x9.440</v>
          </cell>
          <cell r="G241" t="str">
            <v>20-81-00277</v>
          </cell>
          <cell r="H241" t="str">
            <v>3.211X1.301</v>
          </cell>
          <cell r="I241" t="str">
            <v>11X15</v>
          </cell>
          <cell r="K241" t="str">
            <v>24nm 64Gb EX3</v>
          </cell>
          <cell r="L241" t="str">
            <v>24</v>
          </cell>
        </row>
        <row r="242">
          <cell r="C242" t="str">
            <v>54-62-06852-016G</v>
          </cell>
          <cell r="D242" t="str">
            <v>54-82-06852-016G</v>
          </cell>
          <cell r="E242" t="str">
            <v>54-81-00403</v>
          </cell>
          <cell r="F242" t="str">
            <v>12.590x9.440</v>
          </cell>
          <cell r="G242" t="str">
            <v>20-81-00277</v>
          </cell>
          <cell r="H242" t="str">
            <v>3.211X1.301</v>
          </cell>
          <cell r="I242" t="str">
            <v>11X15</v>
          </cell>
          <cell r="K242" t="str">
            <v>24nm 64Gb EX3</v>
          </cell>
          <cell r="L242" t="str">
            <v>24</v>
          </cell>
        </row>
        <row r="243">
          <cell r="C243" t="str">
            <v>54-82-06660-016G</v>
          </cell>
          <cell r="D243" t="str">
            <v>54-82-06660-016G</v>
          </cell>
          <cell r="E243" t="str">
            <v>54-81-00471</v>
          </cell>
          <cell r="F243" t="str">
            <v>12.218X9.0</v>
          </cell>
          <cell r="G243" t="str">
            <v>20-81-00277</v>
          </cell>
          <cell r="H243" t="str">
            <v>3.211X1.301</v>
          </cell>
          <cell r="I243" t="str">
            <v>11X15</v>
          </cell>
          <cell r="K243" t="str">
            <v>32nm 32Gb EX3</v>
          </cell>
          <cell r="L243" t="str">
            <v>32</v>
          </cell>
        </row>
        <row r="244">
          <cell r="C244" t="str">
            <v>54-82-06049-016G</v>
          </cell>
          <cell r="D244" t="str">
            <v>54-82-06049-016G</v>
          </cell>
          <cell r="E244" t="str">
            <v>54-81-00471</v>
          </cell>
          <cell r="F244" t="str">
            <v>12.218X9.0</v>
          </cell>
          <cell r="G244" t="str">
            <v>20-81-00277</v>
          </cell>
          <cell r="H244" t="str">
            <v>3.211X1.301</v>
          </cell>
          <cell r="I244" t="str">
            <v>11X15</v>
          </cell>
          <cell r="K244" t="str">
            <v>32nm 32Gb EX3</v>
          </cell>
          <cell r="L244" t="str">
            <v>32</v>
          </cell>
        </row>
        <row r="245">
          <cell r="C245" t="str">
            <v>54-62-06604-016G</v>
          </cell>
          <cell r="D245" t="str">
            <v>54-82-06604-016G</v>
          </cell>
          <cell r="E245" t="str">
            <v>54-81-00394</v>
          </cell>
          <cell r="F245" t="str">
            <v>12.218X9.0</v>
          </cell>
          <cell r="G245" t="str">
            <v>20-81-00277</v>
          </cell>
          <cell r="H245" t="str">
            <v>3.211X1.301</v>
          </cell>
          <cell r="I245" t="str">
            <v>11X15</v>
          </cell>
          <cell r="J245" t="e">
            <v>#N/A</v>
          </cell>
          <cell r="K245" t="str">
            <v>32nm 32Gb EX3</v>
          </cell>
          <cell r="L245" t="str">
            <v>32</v>
          </cell>
        </row>
        <row r="246">
          <cell r="C246" t="str">
            <v>54-82-05745-016G</v>
          </cell>
          <cell r="D246" t="str">
            <v>54-82-05745-016G</v>
          </cell>
          <cell r="E246" t="str">
            <v>54-81-00471</v>
          </cell>
          <cell r="F246" t="str">
            <v>12.218X9.0</v>
          </cell>
          <cell r="G246" t="str">
            <v>20-81-00251</v>
          </cell>
          <cell r="H246" t="str">
            <v>2.372x2.243</v>
          </cell>
          <cell r="I246" t="str">
            <v>11X15</v>
          </cell>
          <cell r="K246" t="str">
            <v>32nm 32Gb EX3</v>
          </cell>
          <cell r="L246" t="str">
            <v>32</v>
          </cell>
        </row>
        <row r="247">
          <cell r="C247" t="str">
            <v>54-82-06626-016G</v>
          </cell>
          <cell r="D247" t="str">
            <v>54-82-06626-016G</v>
          </cell>
          <cell r="E247" t="str">
            <v>54-81-00471</v>
          </cell>
          <cell r="F247" t="str">
            <v>12.218X9.0</v>
          </cell>
          <cell r="G247" t="str">
            <v>20-81-00251</v>
          </cell>
          <cell r="H247" t="str">
            <v>2.372x2.243</v>
          </cell>
          <cell r="I247" t="str">
            <v>11X15</v>
          </cell>
          <cell r="K247" t="str">
            <v>32nm 32Gb EX3</v>
          </cell>
          <cell r="L247" t="str">
            <v>32</v>
          </cell>
        </row>
        <row r="248">
          <cell r="C248" t="str">
            <v>54-82-04669-016G</v>
          </cell>
          <cell r="D248" t="str">
            <v>54-82-04669-016G</v>
          </cell>
          <cell r="E248" t="str">
            <v>54-81-00471</v>
          </cell>
          <cell r="F248" t="str">
            <v>12.218X9.0</v>
          </cell>
          <cell r="G248" t="str">
            <v>20-81-00251</v>
          </cell>
          <cell r="H248" t="str">
            <v>2.372x2.243</v>
          </cell>
          <cell r="I248" t="str">
            <v>11X15</v>
          </cell>
          <cell r="K248" t="str">
            <v>32nm 32Gb EX3</v>
          </cell>
          <cell r="L248" t="str">
            <v>32</v>
          </cell>
        </row>
        <row r="249">
          <cell r="C249" t="str">
            <v>54-82-05870-016G</v>
          </cell>
          <cell r="D249" t="str">
            <v>54-82-05870-016G</v>
          </cell>
          <cell r="E249" t="str">
            <v>54-81-00471</v>
          </cell>
          <cell r="F249" t="str">
            <v>12.218X9.0</v>
          </cell>
          <cell r="G249" t="str">
            <v>20-81-00251</v>
          </cell>
          <cell r="H249" t="str">
            <v>2.372x2.243</v>
          </cell>
          <cell r="I249" t="str">
            <v>11X15</v>
          </cell>
          <cell r="K249" t="str">
            <v>32nm 32Gb EX3</v>
          </cell>
          <cell r="L249" t="str">
            <v>32</v>
          </cell>
        </row>
        <row r="250">
          <cell r="C250" t="str">
            <v>54-82-05873-016G</v>
          </cell>
          <cell r="D250" t="str">
            <v>54-82-05873-016G</v>
          </cell>
          <cell r="E250" t="str">
            <v>54-81-00471</v>
          </cell>
          <cell r="F250" t="str">
            <v>12.218X9.0</v>
          </cell>
          <cell r="G250" t="str">
            <v>20-81-00251</v>
          </cell>
          <cell r="H250" t="str">
            <v>2.372x2.243</v>
          </cell>
          <cell r="I250" t="str">
            <v>11X15</v>
          </cell>
          <cell r="K250" t="str">
            <v>32nm 32Gb EX3</v>
          </cell>
          <cell r="L250" t="str">
            <v>32</v>
          </cell>
        </row>
        <row r="251">
          <cell r="C251" t="str">
            <v>54-82-06661-016G</v>
          </cell>
          <cell r="D251" t="str">
            <v>54-82-06661-016G</v>
          </cell>
          <cell r="E251" t="str">
            <v>54-81-00471</v>
          </cell>
          <cell r="F251" t="str">
            <v>12.218X9.0</v>
          </cell>
          <cell r="G251" t="str">
            <v>20-81-00251</v>
          </cell>
          <cell r="H251" t="str">
            <v>2.372x2.243</v>
          </cell>
          <cell r="I251" t="str">
            <v>11X15</v>
          </cell>
          <cell r="K251" t="str">
            <v>32nm 32Gb EX3</v>
          </cell>
          <cell r="L251" t="str">
            <v>32</v>
          </cell>
        </row>
        <row r="252">
          <cell r="C252" t="str">
            <v>54-82-06047-016G</v>
          </cell>
          <cell r="D252" t="str">
            <v>54-82-06047-016G</v>
          </cell>
          <cell r="E252" t="str">
            <v>54-81-00471</v>
          </cell>
          <cell r="F252" t="str">
            <v>12.218X9.0</v>
          </cell>
          <cell r="G252" t="str">
            <v>20-81-00277</v>
          </cell>
          <cell r="H252" t="str">
            <v>3.211X1.301</v>
          </cell>
          <cell r="I252" t="str">
            <v>11X15</v>
          </cell>
          <cell r="K252" t="str">
            <v>32nm 32Gb EX3</v>
          </cell>
          <cell r="L252" t="str">
            <v>32</v>
          </cell>
        </row>
        <row r="253">
          <cell r="C253" t="str">
            <v>54-82-06048-016G</v>
          </cell>
          <cell r="D253" t="str">
            <v>54-82-06048-016G</v>
          </cell>
          <cell r="E253" t="str">
            <v>54-81-00471</v>
          </cell>
          <cell r="F253" t="str">
            <v>12.218X9.0</v>
          </cell>
          <cell r="G253" t="str">
            <v>20-81-00277</v>
          </cell>
          <cell r="H253" t="str">
            <v>3.211X1.301</v>
          </cell>
          <cell r="I253" t="str">
            <v>11X15</v>
          </cell>
          <cell r="K253" t="str">
            <v>32nm 32Gb EX3</v>
          </cell>
          <cell r="L253" t="str">
            <v>32</v>
          </cell>
        </row>
        <row r="254">
          <cell r="C254" t="str">
            <v>54-82-08236-016G</v>
          </cell>
          <cell r="D254" t="str">
            <v>54-82-08236-016G</v>
          </cell>
          <cell r="E254" t="str">
            <v>54-81-00471</v>
          </cell>
          <cell r="F254" t="str">
            <v>12.218X9.0</v>
          </cell>
          <cell r="G254" t="str">
            <v>20-81-00277</v>
          </cell>
          <cell r="H254" t="str">
            <v>3.211X1.301</v>
          </cell>
          <cell r="I254" t="str">
            <v>11X15</v>
          </cell>
          <cell r="K254" t="str">
            <v>32nm 32Gb EX3</v>
          </cell>
          <cell r="L254" t="str">
            <v>32</v>
          </cell>
        </row>
        <row r="255">
          <cell r="C255" t="str">
            <v>54-82-06624-016G</v>
          </cell>
          <cell r="D255" t="str">
            <v>54-82-06624-016G</v>
          </cell>
          <cell r="E255" t="str">
            <v>54-81-00471</v>
          </cell>
          <cell r="F255" t="str">
            <v>12.218X9.0</v>
          </cell>
          <cell r="G255" t="str">
            <v>20-81-00251</v>
          </cell>
          <cell r="H255" t="str">
            <v>2.372x2.243</v>
          </cell>
          <cell r="I255" t="str">
            <v>11X15</v>
          </cell>
          <cell r="K255" t="str">
            <v>32nm 32Gb EX3</v>
          </cell>
          <cell r="L255" t="str">
            <v>32</v>
          </cell>
        </row>
        <row r="256">
          <cell r="C256" t="str">
            <v>54-82-06758-016G</v>
          </cell>
          <cell r="D256" t="str">
            <v>54-82-06758-016G</v>
          </cell>
          <cell r="E256" t="str">
            <v>54-81-00471</v>
          </cell>
          <cell r="F256" t="str">
            <v>12.218X9.0</v>
          </cell>
          <cell r="G256" t="str">
            <v>20-81-00251</v>
          </cell>
          <cell r="H256" t="str">
            <v>2.372x2.243</v>
          </cell>
          <cell r="I256" t="str">
            <v>11X15</v>
          </cell>
          <cell r="K256" t="str">
            <v>32nm 32Gb EX3</v>
          </cell>
          <cell r="L256" t="str">
            <v>32</v>
          </cell>
        </row>
        <row r="257">
          <cell r="C257" t="str">
            <v>54-82-06650-016G</v>
          </cell>
          <cell r="D257" t="str">
            <v>54-82-06650-016G</v>
          </cell>
          <cell r="E257" t="str">
            <v>54-81-00354</v>
          </cell>
          <cell r="F257" t="str">
            <v>12.218X9.0</v>
          </cell>
          <cell r="G257" t="str">
            <v>20-81-00251</v>
          </cell>
          <cell r="H257" t="str">
            <v>2.372x2.243</v>
          </cell>
          <cell r="I257" t="str">
            <v>11X15</v>
          </cell>
          <cell r="K257" t="str">
            <v>32nm 32Gb EX3</v>
          </cell>
          <cell r="L257" t="str">
            <v>32</v>
          </cell>
        </row>
        <row r="258">
          <cell r="C258" t="str">
            <v>54-82-04667-016G</v>
          </cell>
          <cell r="D258" t="str">
            <v>54-82-04667-016G</v>
          </cell>
          <cell r="E258" t="str">
            <v>54-81-00354</v>
          </cell>
          <cell r="F258" t="str">
            <v>12.218X9.0</v>
          </cell>
          <cell r="G258" t="str">
            <v>20-81-00251</v>
          </cell>
          <cell r="H258" t="str">
            <v>2.372x2.243</v>
          </cell>
          <cell r="I258" t="str">
            <v>11X15</v>
          </cell>
          <cell r="K258" t="str">
            <v>32nm 32Gb EX3</v>
          </cell>
          <cell r="L258" t="str">
            <v>32</v>
          </cell>
        </row>
        <row r="259">
          <cell r="C259" t="str">
            <v>54-82-04530-016G</v>
          </cell>
          <cell r="D259" t="str">
            <v>54-82-04530-016G</v>
          </cell>
          <cell r="E259" t="str">
            <v>54-81-00387</v>
          </cell>
          <cell r="F259" t="str">
            <v>12.247X9.215</v>
          </cell>
          <cell r="G259" t="str">
            <v>20-81-00290</v>
          </cell>
          <cell r="H259" t="str">
            <v>3.592X1.845</v>
          </cell>
          <cell r="I259" t="str">
            <v>11X15</v>
          </cell>
          <cell r="K259" t="str">
            <v>32nm 32Gb D3</v>
          </cell>
          <cell r="L259" t="str">
            <v>32</v>
          </cell>
        </row>
        <row r="260">
          <cell r="C260" t="str">
            <v>54-82-06030-016G</v>
          </cell>
          <cell r="D260" t="str">
            <v>54-82-06030-016G</v>
          </cell>
          <cell r="E260" t="str">
            <v>54-81-00387</v>
          </cell>
          <cell r="F260" t="str">
            <v>12.247X9.215</v>
          </cell>
          <cell r="G260" t="str">
            <v>20-81-00290</v>
          </cell>
          <cell r="H260" t="str">
            <v>3.592X1.845</v>
          </cell>
          <cell r="I260" t="str">
            <v>11X15</v>
          </cell>
          <cell r="K260" t="str">
            <v>32nm 32Gb D3</v>
          </cell>
          <cell r="L260" t="str">
            <v>32</v>
          </cell>
        </row>
        <row r="261">
          <cell r="C261" t="str">
            <v>54-82-06032-016G</v>
          </cell>
          <cell r="D261" t="str">
            <v>54-82-06032-016G</v>
          </cell>
          <cell r="E261" t="str">
            <v>54-81-00387</v>
          </cell>
          <cell r="F261" t="str">
            <v>12.247X9.215</v>
          </cell>
          <cell r="G261" t="str">
            <v>20-81-00290</v>
          </cell>
          <cell r="H261" t="str">
            <v>3.592X1.845</v>
          </cell>
          <cell r="I261" t="str">
            <v>11X15</v>
          </cell>
          <cell r="K261" t="str">
            <v>32nm 32Gb D3</v>
          </cell>
          <cell r="L261" t="str">
            <v>32</v>
          </cell>
        </row>
        <row r="262">
          <cell r="C262" t="str">
            <v>54-82-04385-016G</v>
          </cell>
          <cell r="D262" t="str">
            <v>54-82-04385-016G</v>
          </cell>
          <cell r="E262" t="str">
            <v>54-81-00387</v>
          </cell>
          <cell r="F262" t="str">
            <v>12.247X9.215</v>
          </cell>
          <cell r="G262" t="str">
            <v>20-81-00290</v>
          </cell>
          <cell r="H262" t="str">
            <v>3.592X1.845</v>
          </cell>
          <cell r="I262" t="str">
            <v>11X15</v>
          </cell>
          <cell r="K262" t="str">
            <v>32nm 32Gb D3</v>
          </cell>
          <cell r="L262" t="str">
            <v>32</v>
          </cell>
        </row>
        <row r="263">
          <cell r="C263" t="str">
            <v>54-82-06033-016G</v>
          </cell>
          <cell r="D263" t="str">
            <v>54-82-06033-016G</v>
          </cell>
          <cell r="E263" t="str">
            <v>54-81-00387</v>
          </cell>
          <cell r="F263" t="str">
            <v>12.247X9.215</v>
          </cell>
          <cell r="G263" t="str">
            <v>20-81-00252</v>
          </cell>
          <cell r="H263" t="str">
            <v>3.592X1.845</v>
          </cell>
          <cell r="I263" t="str">
            <v>11X15</v>
          </cell>
          <cell r="K263" t="str">
            <v>32nm 32Gb D3</v>
          </cell>
          <cell r="L263" t="str">
            <v>32</v>
          </cell>
        </row>
        <row r="264">
          <cell r="C264" t="str">
            <v>54-82-05968-016G</v>
          </cell>
          <cell r="D264" t="str">
            <v>54-82-05968-016G</v>
          </cell>
          <cell r="E264" t="str">
            <v>54-81-00387</v>
          </cell>
          <cell r="F264" t="str">
            <v>12.247X9.215</v>
          </cell>
          <cell r="G264" t="str">
            <v>20-81-00252</v>
          </cell>
          <cell r="H264" t="str">
            <v>3.592X1.845</v>
          </cell>
          <cell r="I264" t="str">
            <v>11X15</v>
          </cell>
          <cell r="K264" t="str">
            <v>32nm 32Gb D3</v>
          </cell>
          <cell r="L264" t="str">
            <v>32</v>
          </cell>
        </row>
        <row r="265">
          <cell r="C265" t="str">
            <v>54-82-05971-016G</v>
          </cell>
          <cell r="D265" t="str">
            <v>54-82-05971-016G</v>
          </cell>
          <cell r="E265" t="str">
            <v>54-81-00387</v>
          </cell>
          <cell r="F265" t="str">
            <v>12.247X9.215</v>
          </cell>
          <cell r="G265" t="str">
            <v>20-81-00252</v>
          </cell>
          <cell r="H265" t="str">
            <v>3.592X1.845</v>
          </cell>
          <cell r="I265" t="str">
            <v>11X15</v>
          </cell>
          <cell r="K265" t="str">
            <v>32nm 32Gb D3</v>
          </cell>
          <cell r="L265" t="str">
            <v>32</v>
          </cell>
        </row>
        <row r="266">
          <cell r="C266" t="str">
            <v>54-82-05987-016G</v>
          </cell>
          <cell r="D266" t="str">
            <v>54-82-05987-016G</v>
          </cell>
          <cell r="E266" t="str">
            <v>54-81-00387</v>
          </cell>
          <cell r="F266" t="str">
            <v>12.247X9.215</v>
          </cell>
          <cell r="G266" t="str">
            <v>20-81-00252</v>
          </cell>
          <cell r="H266" t="str">
            <v>3.592X1.845</v>
          </cell>
          <cell r="I266" t="str">
            <v>11X15</v>
          </cell>
          <cell r="K266" t="str">
            <v>32nm 32Gb D3</v>
          </cell>
          <cell r="L266" t="str">
            <v>32</v>
          </cell>
        </row>
        <row r="267">
          <cell r="C267" t="str">
            <v>54-62-05809-016G</v>
          </cell>
          <cell r="D267" t="str">
            <v>54-82-05809-016G</v>
          </cell>
          <cell r="E267" t="str">
            <v>54-81-00382</v>
          </cell>
          <cell r="F267" t="str">
            <v>12.247X9.215</v>
          </cell>
          <cell r="G267" t="str">
            <v>20-81-00252</v>
          </cell>
          <cell r="H267" t="str">
            <v>3.592X1.845</v>
          </cell>
          <cell r="I267" t="str">
            <v>11X15</v>
          </cell>
          <cell r="K267" t="str">
            <v>32nm 32Gb D3</v>
          </cell>
          <cell r="L267" t="str">
            <v>32</v>
          </cell>
        </row>
        <row r="268">
          <cell r="C268" t="str">
            <v>54-82-04604-016G</v>
          </cell>
          <cell r="D268" t="str">
            <v>54-82-04604-016G</v>
          </cell>
          <cell r="E268" t="str">
            <v>54-81-00382</v>
          </cell>
          <cell r="F268" t="str">
            <v>12.247X9.215</v>
          </cell>
          <cell r="G268" t="str">
            <v>20-81-00252</v>
          </cell>
          <cell r="H268" t="str">
            <v>3.592X1.845</v>
          </cell>
          <cell r="I268" t="str">
            <v>11X15</v>
          </cell>
          <cell r="K268" t="str">
            <v>32nm 32Gb D3</v>
          </cell>
          <cell r="L268" t="str">
            <v>32</v>
          </cell>
        </row>
        <row r="269">
          <cell r="C269" t="str">
            <v>54-82-04383-016G</v>
          </cell>
          <cell r="D269" t="str">
            <v>54-82-04383-016G</v>
          </cell>
          <cell r="E269" t="str">
            <v>54-81-00382</v>
          </cell>
          <cell r="F269" t="str">
            <v>12.247X9.215</v>
          </cell>
          <cell r="G269" t="str">
            <v>20-81-00290</v>
          </cell>
          <cell r="H269" t="str">
            <v>3.592X1.845</v>
          </cell>
          <cell r="I269" t="str">
            <v>11X15</v>
          </cell>
          <cell r="K269" t="str">
            <v>32nm 32Gb D3</v>
          </cell>
          <cell r="L269" t="str">
            <v>32</v>
          </cell>
        </row>
        <row r="270">
          <cell r="C270" t="str">
            <v>54-82-04382-016G</v>
          </cell>
          <cell r="D270" t="str">
            <v>54-82-04382-016G</v>
          </cell>
          <cell r="E270" t="str">
            <v>54-81-00382</v>
          </cell>
          <cell r="F270" t="str">
            <v>12.247X9.215</v>
          </cell>
          <cell r="G270" t="str">
            <v>20-81-00290</v>
          </cell>
          <cell r="H270" t="str">
            <v>3.592X1.845</v>
          </cell>
          <cell r="I270" t="str">
            <v>11X15</v>
          </cell>
          <cell r="K270" t="str">
            <v>32nm 32Gb D3</v>
          </cell>
          <cell r="L270" t="str">
            <v>32</v>
          </cell>
        </row>
        <row r="271">
          <cell r="C271" t="str">
            <v>54-82-04381-016G</v>
          </cell>
          <cell r="D271" t="str">
            <v>54-82-04381-016G</v>
          </cell>
          <cell r="E271" t="str">
            <v>54-81-00382</v>
          </cell>
          <cell r="F271" t="str">
            <v>12.247X9.215</v>
          </cell>
          <cell r="G271" t="str">
            <v>20-81-00290</v>
          </cell>
          <cell r="H271" t="str">
            <v>3.592X1.845</v>
          </cell>
          <cell r="I271" t="str">
            <v>11X15</v>
          </cell>
          <cell r="K271" t="str">
            <v>32nm 32Gb D3</v>
          </cell>
          <cell r="L271" t="str">
            <v>32</v>
          </cell>
        </row>
        <row r="272">
          <cell r="C272" t="str">
            <v>54-82-05720-016G</v>
          </cell>
          <cell r="D272" t="str">
            <v>54-82-05720-016G</v>
          </cell>
          <cell r="E272" t="str">
            <v>54-81-00340</v>
          </cell>
          <cell r="F272" t="str">
            <v>12.247X9.215</v>
          </cell>
          <cell r="G272" t="str">
            <v>20-81-00252</v>
          </cell>
          <cell r="H272" t="str">
            <v>3.592X1.845</v>
          </cell>
          <cell r="I272" t="str">
            <v>11X15</v>
          </cell>
          <cell r="K272" t="str">
            <v>32nm 32Gb D3</v>
          </cell>
          <cell r="L272" t="str">
            <v>32</v>
          </cell>
        </row>
        <row r="273">
          <cell r="C273" t="str">
            <v>54-82-04147-016G</v>
          </cell>
          <cell r="D273" t="str">
            <v>54-82-04147-016G</v>
          </cell>
          <cell r="E273" t="str">
            <v>54-81-00382</v>
          </cell>
          <cell r="F273" t="str">
            <v>12.247X9.215</v>
          </cell>
          <cell r="G273" t="str">
            <v>20-81-00252</v>
          </cell>
          <cell r="H273" t="str">
            <v>3.592X1.845</v>
          </cell>
          <cell r="I273" t="str">
            <v>11X15</v>
          </cell>
          <cell r="K273" t="str">
            <v>32nm 32Gb D3</v>
          </cell>
          <cell r="L273" t="str">
            <v>32</v>
          </cell>
        </row>
        <row r="274">
          <cell r="C274" t="str">
            <v>54-82-03488-016G</v>
          </cell>
          <cell r="D274" t="str">
            <v>54-82-03488-016G</v>
          </cell>
          <cell r="E274" t="str">
            <v>54-81-00450</v>
          </cell>
          <cell r="F274" t="str">
            <v>11.045x7.826</v>
          </cell>
          <cell r="G274" t="str">
            <v>20-81-00124</v>
          </cell>
          <cell r="H274" t="str">
            <v>2.416X2.606</v>
          </cell>
          <cell r="I274" t="str">
            <v>11X15</v>
          </cell>
          <cell r="K274" t="str">
            <v>32nm 16Gb D2</v>
          </cell>
          <cell r="L274" t="str">
            <v>32</v>
          </cell>
        </row>
        <row r="275">
          <cell r="C275" t="str">
            <v>54-82-06833-032G</v>
          </cell>
          <cell r="D275" t="str">
            <v>54-82-06833-032G</v>
          </cell>
          <cell r="E275" t="str">
            <v>54-81-00465</v>
          </cell>
          <cell r="F275" t="str">
            <v>12.590x9.440</v>
          </cell>
          <cell r="G275" t="str">
            <v>20-81-00303</v>
          </cell>
          <cell r="H275" t="str">
            <v>3.456x1.361</v>
          </cell>
          <cell r="I275" t="str">
            <v>11X15</v>
          </cell>
          <cell r="K275" t="str">
            <v>24nm 64Gb EX3</v>
          </cell>
          <cell r="L275" t="str">
            <v>24</v>
          </cell>
        </row>
        <row r="276">
          <cell r="C276" t="str">
            <v>54-82-08651-032G</v>
          </cell>
          <cell r="D276" t="str">
            <v>54-82-08651-032G</v>
          </cell>
          <cell r="E276" t="str">
            <v>54-81-00465</v>
          </cell>
          <cell r="F276" t="str">
            <v>12.590x9.440</v>
          </cell>
          <cell r="G276" t="str">
            <v>20-81-00303</v>
          </cell>
          <cell r="H276" t="str">
            <v>3.456x1.361</v>
          </cell>
          <cell r="I276" t="str">
            <v>11X15A</v>
          </cell>
          <cell r="K276" t="str">
            <v>24nm 64Gb EX3</v>
          </cell>
          <cell r="L276" t="str">
            <v>24</v>
          </cell>
        </row>
        <row r="277">
          <cell r="C277" t="str">
            <v>54-82-08205-032G</v>
          </cell>
          <cell r="D277" t="str">
            <v>54-82-08205-032G</v>
          </cell>
          <cell r="E277" t="str">
            <v>54-81-00465</v>
          </cell>
          <cell r="F277" t="str">
            <v>12.590x9.440</v>
          </cell>
          <cell r="G277" t="str">
            <v>20-81-00339</v>
          </cell>
          <cell r="H277" t="str">
            <v>3.456x1.361</v>
          </cell>
          <cell r="I277" t="str">
            <v>11X15</v>
          </cell>
          <cell r="K277" t="str">
            <v>24nm 64Gb EX3</v>
          </cell>
          <cell r="L277" t="str">
            <v>24</v>
          </cell>
        </row>
        <row r="278">
          <cell r="C278" t="str">
            <v>54-82-08301-032G</v>
          </cell>
          <cell r="D278" t="str">
            <v>54-82-08301-032G</v>
          </cell>
          <cell r="E278" t="str">
            <v>54-81-00465</v>
          </cell>
          <cell r="F278" t="str">
            <v>12.590x9.440</v>
          </cell>
          <cell r="G278" t="str">
            <v>20-81-00303</v>
          </cell>
          <cell r="H278" t="str">
            <v>3.456x1.361</v>
          </cell>
          <cell r="I278" t="str">
            <v>11X15</v>
          </cell>
          <cell r="K278" t="str">
            <v>24nm 64Gb EX3</v>
          </cell>
          <cell r="L278" t="str">
            <v>24</v>
          </cell>
        </row>
        <row r="279">
          <cell r="C279" t="str">
            <v>54-82-08505-032G</v>
          </cell>
          <cell r="D279" t="str">
            <v>54-82-08505-032G</v>
          </cell>
          <cell r="E279" t="str">
            <v>54-81-00465</v>
          </cell>
          <cell r="F279" t="str">
            <v>12.590x9.440</v>
          </cell>
          <cell r="G279" t="str">
            <v>20-81-00303</v>
          </cell>
          <cell r="H279" t="str">
            <v>3.456x1.361</v>
          </cell>
          <cell r="I279" t="str">
            <v>11X15</v>
          </cell>
          <cell r="K279" t="str">
            <v>24nm 64Gb EX3</v>
          </cell>
          <cell r="L279" t="str">
            <v>24</v>
          </cell>
        </row>
        <row r="280">
          <cell r="C280" t="str">
            <v>54-82-08206-032G</v>
          </cell>
          <cell r="D280" t="str">
            <v>54-82-08206-032G</v>
          </cell>
          <cell r="E280" t="str">
            <v>54-81-00465</v>
          </cell>
          <cell r="F280" t="str">
            <v>12.590x9.440</v>
          </cell>
          <cell r="G280" t="str">
            <v>20-81-00303</v>
          </cell>
          <cell r="H280" t="str">
            <v>3.456x1.361</v>
          </cell>
          <cell r="I280" t="str">
            <v>11X15</v>
          </cell>
          <cell r="K280" t="str">
            <v>24nm 64Gb EX3</v>
          </cell>
          <cell r="L280" t="str">
            <v>24</v>
          </cell>
        </row>
        <row r="281">
          <cell r="C281" t="str">
            <v>54-82-06981-032G</v>
          </cell>
          <cell r="D281" t="str">
            <v>54-82-06981-032G</v>
          </cell>
          <cell r="E281" t="str">
            <v>54-81-00430</v>
          </cell>
          <cell r="F281" t="str">
            <v>12.218X9.0</v>
          </cell>
          <cell r="G281" t="str">
            <v>20-81-00251</v>
          </cell>
          <cell r="H281" t="str">
            <v>2.372x2.243</v>
          </cell>
          <cell r="I281" t="str">
            <v>11X15B</v>
          </cell>
          <cell r="K281" t="str">
            <v>32nm 32Gb EX3</v>
          </cell>
          <cell r="L281" t="str">
            <v>32</v>
          </cell>
        </row>
        <row r="282">
          <cell r="C282" t="str">
            <v>54-82-08234-032G</v>
          </cell>
          <cell r="D282" t="str">
            <v>54-82-08234-032G</v>
          </cell>
          <cell r="E282" t="str">
            <v>54-81-00448</v>
          </cell>
          <cell r="F282" t="str">
            <v>12.218X9.0</v>
          </cell>
          <cell r="G282" t="str">
            <v>20-81-00251</v>
          </cell>
          <cell r="H282" t="str">
            <v>2.372x2.243</v>
          </cell>
          <cell r="I282" t="str">
            <v>11X15B</v>
          </cell>
          <cell r="J282" t="e">
            <v>#N/A</v>
          </cell>
          <cell r="K282" t="str">
            <v>32nm 32Gb EX3</v>
          </cell>
          <cell r="L282" t="str">
            <v>32</v>
          </cell>
        </row>
        <row r="283">
          <cell r="C283" t="str">
            <v>54-82-06984-032G</v>
          </cell>
          <cell r="D283" t="str">
            <v>54-82-06984-032G</v>
          </cell>
          <cell r="E283" t="str">
            <v>54-81-00438</v>
          </cell>
          <cell r="F283" t="str">
            <v>12.218X9.0</v>
          </cell>
          <cell r="G283" t="str">
            <v>20-81-00251</v>
          </cell>
          <cell r="H283" t="str">
            <v>2.372x2.243</v>
          </cell>
          <cell r="I283" t="str">
            <v>11X15B</v>
          </cell>
          <cell r="J283" t="e">
            <v>#N/A</v>
          </cell>
          <cell r="K283" t="str">
            <v>32nm 32Gb EX3</v>
          </cell>
          <cell r="L283" t="str">
            <v>32</v>
          </cell>
        </row>
        <row r="284">
          <cell r="C284" t="str">
            <v>54-82-06988-032G</v>
          </cell>
          <cell r="D284" t="str">
            <v>54-82-06988-032G</v>
          </cell>
          <cell r="E284" t="str">
            <v>54-81-00448</v>
          </cell>
          <cell r="F284" t="str">
            <v>12.218X9.0</v>
          </cell>
          <cell r="G284" t="str">
            <v>20-81-00251</v>
          </cell>
          <cell r="H284" t="str">
            <v>2.372x2.243</v>
          </cell>
          <cell r="I284" t="str">
            <v>11X15B</v>
          </cell>
          <cell r="K284" t="str">
            <v>32nm 32Gb EX3</v>
          </cell>
          <cell r="L284" t="str">
            <v>32</v>
          </cell>
        </row>
        <row r="285">
          <cell r="C285" t="str">
            <v>54-82-06986-032G</v>
          </cell>
          <cell r="D285" t="str">
            <v>54-82-06986-032G</v>
          </cell>
          <cell r="E285" t="str">
            <v>54-81-00448</v>
          </cell>
          <cell r="F285" t="str">
            <v>12.218X9.0</v>
          </cell>
          <cell r="G285" t="str">
            <v>20-81-00251</v>
          </cell>
          <cell r="H285" t="str">
            <v>2.372x2.243</v>
          </cell>
          <cell r="I285" t="str">
            <v>11X15B</v>
          </cell>
          <cell r="K285" t="str">
            <v>32nm 32Gb EX3</v>
          </cell>
          <cell r="L285" t="str">
            <v>32</v>
          </cell>
        </row>
        <row r="286">
          <cell r="C286" t="str">
            <v>54-82-06982-032G</v>
          </cell>
          <cell r="D286" t="str">
            <v>54-82-06982-032G</v>
          </cell>
          <cell r="E286" t="str">
            <v>54-81-00438</v>
          </cell>
          <cell r="F286" t="str">
            <v>12.218X9.0</v>
          </cell>
          <cell r="G286" t="str">
            <v>20-81-00251</v>
          </cell>
          <cell r="H286" t="str">
            <v>2.372x2.243</v>
          </cell>
          <cell r="I286" t="str">
            <v>11X15B</v>
          </cell>
          <cell r="K286" t="str">
            <v>32nm 32Gb EX3</v>
          </cell>
          <cell r="L286" t="str">
            <v>32</v>
          </cell>
        </row>
        <row r="287">
          <cell r="C287" t="str">
            <v>54-82-07975-032G</v>
          </cell>
          <cell r="D287" t="str">
            <v>54-82-07975-032G</v>
          </cell>
          <cell r="E287" t="str">
            <v>54-81-00438</v>
          </cell>
          <cell r="F287" t="str">
            <v>12.218X9.0</v>
          </cell>
          <cell r="G287" t="str">
            <v>20-81-00251</v>
          </cell>
          <cell r="H287" t="str">
            <v>2.372x2.243</v>
          </cell>
          <cell r="I287" t="str">
            <v>11X15B</v>
          </cell>
          <cell r="K287" t="str">
            <v>32nm 32Gb EX3</v>
          </cell>
          <cell r="L287" t="str">
            <v>32</v>
          </cell>
        </row>
        <row r="288">
          <cell r="C288" t="str">
            <v>54-82-06976-032G</v>
          </cell>
          <cell r="D288" t="str">
            <v>54-82-06976-032G</v>
          </cell>
          <cell r="E288" t="str">
            <v>54-81-00438</v>
          </cell>
          <cell r="F288" t="str">
            <v>12.218X9.0</v>
          </cell>
          <cell r="G288" t="str">
            <v>20-81-00251</v>
          </cell>
          <cell r="H288" t="str">
            <v>2.372x2.243</v>
          </cell>
          <cell r="I288" t="str">
            <v>11X15B</v>
          </cell>
          <cell r="K288" t="str">
            <v>32nm 32Gb EX3</v>
          </cell>
          <cell r="L288" t="str">
            <v>32</v>
          </cell>
        </row>
        <row r="289">
          <cell r="C289" t="str">
            <v>54-82-06979-032G</v>
          </cell>
          <cell r="D289" t="str">
            <v>54-82-06979-032G</v>
          </cell>
          <cell r="E289" t="str">
            <v>54-81-00448</v>
          </cell>
          <cell r="F289" t="str">
            <v>12.218X9.0</v>
          </cell>
          <cell r="G289" t="str">
            <v>20-81-00251</v>
          </cell>
          <cell r="H289" t="str">
            <v>2.372x2.243</v>
          </cell>
          <cell r="I289" t="str">
            <v>11X15B</v>
          </cell>
          <cell r="K289" t="str">
            <v>32nm 32Gb EX3</v>
          </cell>
          <cell r="L289" t="str">
            <v>32</v>
          </cell>
        </row>
        <row r="290">
          <cell r="C290" t="str">
            <v>54-82-06977-032G</v>
          </cell>
          <cell r="D290" t="str">
            <v>54-82-06977-032G</v>
          </cell>
          <cell r="E290" t="str">
            <v>54-81-00448</v>
          </cell>
          <cell r="F290" t="str">
            <v>12.218X9.0</v>
          </cell>
          <cell r="G290" t="str">
            <v>20-81-00251</v>
          </cell>
          <cell r="H290" t="str">
            <v>2.372x2.243</v>
          </cell>
          <cell r="I290" t="str">
            <v>11X15B</v>
          </cell>
          <cell r="K290" t="str">
            <v>32nm 32Gb EX3</v>
          </cell>
          <cell r="L290" t="str">
            <v>32</v>
          </cell>
        </row>
        <row r="291">
          <cell r="C291" t="str">
            <v>54-82-06626-032G</v>
          </cell>
          <cell r="D291" t="str">
            <v>54-82-06626-032G</v>
          </cell>
          <cell r="E291" t="str">
            <v>54-81-00471</v>
          </cell>
          <cell r="F291" t="str">
            <v>12.218X9.0</v>
          </cell>
          <cell r="G291" t="str">
            <v>20-81-00251</v>
          </cell>
          <cell r="H291" t="str">
            <v>2.372x2.243</v>
          </cell>
          <cell r="I291" t="str">
            <v>11X15B</v>
          </cell>
          <cell r="K291" t="str">
            <v>32nm 32Gb EX3</v>
          </cell>
          <cell r="L291" t="str">
            <v>32</v>
          </cell>
        </row>
        <row r="292">
          <cell r="C292" t="str">
            <v>54-82-04667-032G</v>
          </cell>
          <cell r="D292" t="str">
            <v>54-82-04667-032G</v>
          </cell>
          <cell r="E292" t="str">
            <v>54-81-00477</v>
          </cell>
          <cell r="F292" t="str">
            <v>12.218X9.0</v>
          </cell>
          <cell r="G292" t="str">
            <v>20-81-00251</v>
          </cell>
          <cell r="H292" t="str">
            <v>2.372x2.243</v>
          </cell>
          <cell r="I292" t="str">
            <v>11X15B</v>
          </cell>
          <cell r="K292" t="str">
            <v>32nm 32Gb EX3</v>
          </cell>
          <cell r="L292" t="str">
            <v>32</v>
          </cell>
        </row>
        <row r="293">
          <cell r="C293" t="str">
            <v>54-82-04669-032G</v>
          </cell>
          <cell r="D293" t="str">
            <v>54-82-04669-032G</v>
          </cell>
          <cell r="E293" t="str">
            <v>54-81-00471</v>
          </cell>
          <cell r="F293" t="str">
            <v>12.218X9.0</v>
          </cell>
          <cell r="G293" t="str">
            <v>20-81-00251</v>
          </cell>
          <cell r="H293" t="str">
            <v>2.372x2.243</v>
          </cell>
          <cell r="I293" t="str">
            <v>11X15B</v>
          </cell>
          <cell r="K293" t="str">
            <v>32nm 32Gb EX3</v>
          </cell>
          <cell r="L293" t="str">
            <v>32</v>
          </cell>
        </row>
        <row r="294">
          <cell r="C294" t="str">
            <v>54-82-05870-032G</v>
          </cell>
          <cell r="D294" t="str">
            <v>54-82-05870-032G</v>
          </cell>
          <cell r="E294" t="str">
            <v>54-81-00471</v>
          </cell>
          <cell r="F294" t="str">
            <v>12.218X9.0</v>
          </cell>
          <cell r="G294" t="str">
            <v>20-81-00251</v>
          </cell>
          <cell r="H294" t="str">
            <v>2.372x2.243</v>
          </cell>
          <cell r="I294" t="str">
            <v>11X15B</v>
          </cell>
          <cell r="K294" t="str">
            <v>32nm 32Gb EX3</v>
          </cell>
          <cell r="L294" t="str">
            <v>32</v>
          </cell>
        </row>
        <row r="295">
          <cell r="C295" t="str">
            <v>54-82-06624-032G</v>
          </cell>
          <cell r="D295" t="str">
            <v>54-82-06624-032G</v>
          </cell>
          <cell r="E295" t="str">
            <v>54-81-00471</v>
          </cell>
          <cell r="F295" t="str">
            <v>12.218X9.0</v>
          </cell>
          <cell r="G295" t="str">
            <v>20-81-00251</v>
          </cell>
          <cell r="H295" t="str">
            <v>2.372x2.243</v>
          </cell>
          <cell r="I295" t="str">
            <v>11X15B</v>
          </cell>
          <cell r="K295" t="str">
            <v>32nm 32Gb EX3</v>
          </cell>
          <cell r="L295" t="str">
            <v>32</v>
          </cell>
        </row>
        <row r="296">
          <cell r="C296" t="str">
            <v>54-82-05873-032G</v>
          </cell>
          <cell r="D296" t="str">
            <v>54-82-05873-032G</v>
          </cell>
          <cell r="E296" t="str">
            <v>54-81-00471</v>
          </cell>
          <cell r="F296" t="str">
            <v>12.218X9.0</v>
          </cell>
          <cell r="G296" t="str">
            <v>20-81-00251</v>
          </cell>
          <cell r="H296" t="str">
            <v>2.372x2.243</v>
          </cell>
          <cell r="I296" t="str">
            <v>11X15B</v>
          </cell>
          <cell r="K296" t="str">
            <v>32nm 32Gb EX3</v>
          </cell>
          <cell r="L296" t="str">
            <v>32</v>
          </cell>
        </row>
        <row r="297">
          <cell r="C297" t="str">
            <v>54-82-05971-032G</v>
          </cell>
          <cell r="D297" t="str">
            <v>54-82-05971-032G</v>
          </cell>
          <cell r="E297" t="str">
            <v>54-81-00387</v>
          </cell>
          <cell r="F297" t="str">
            <v>12.247X9.215</v>
          </cell>
          <cell r="G297" t="str">
            <v>20-81-00276</v>
          </cell>
          <cell r="H297" t="str">
            <v>3.592X1.845</v>
          </cell>
          <cell r="I297" t="str">
            <v>11X15B</v>
          </cell>
          <cell r="K297" t="str">
            <v>32nm 32Gb D3</v>
          </cell>
          <cell r="L297" t="str">
            <v>32</v>
          </cell>
        </row>
        <row r="298">
          <cell r="C298" t="str">
            <v>54-82-06032-032G</v>
          </cell>
          <cell r="D298" t="str">
            <v>54-82-06032-032G</v>
          </cell>
          <cell r="E298" t="str">
            <v>54-81-00387</v>
          </cell>
          <cell r="F298" t="str">
            <v>12.247X9.215</v>
          </cell>
          <cell r="G298" t="str">
            <v>20-81-00290</v>
          </cell>
          <cell r="H298" t="str">
            <v>3.592X1.845</v>
          </cell>
          <cell r="I298" t="str">
            <v>11X15B</v>
          </cell>
          <cell r="K298" t="str">
            <v>32nm 32Gb D3</v>
          </cell>
          <cell r="L298" t="str">
            <v>32</v>
          </cell>
        </row>
        <row r="299">
          <cell r="C299" t="str">
            <v>54-82-04383-032G</v>
          </cell>
          <cell r="D299" t="str">
            <v>54-82-04383-032G</v>
          </cell>
          <cell r="E299" t="str">
            <v>54-81-00387</v>
          </cell>
          <cell r="F299" t="str">
            <v>12.247X9.215</v>
          </cell>
          <cell r="G299" t="str">
            <v>20-81-00290</v>
          </cell>
          <cell r="H299" t="str">
            <v>3.592X1.845</v>
          </cell>
          <cell r="I299" t="str">
            <v>11X15B</v>
          </cell>
          <cell r="K299" t="str">
            <v>32nm 32Gb D3</v>
          </cell>
          <cell r="L299" t="str">
            <v>32</v>
          </cell>
        </row>
        <row r="300">
          <cell r="C300" t="str">
            <v>54-82-04381-032G</v>
          </cell>
          <cell r="D300" t="str">
            <v>54-82-04381-032G</v>
          </cell>
          <cell r="E300" t="str">
            <v>54-81-00387</v>
          </cell>
          <cell r="F300" t="str">
            <v>12.247X9.215</v>
          </cell>
          <cell r="G300" t="str">
            <v>20-81-00290</v>
          </cell>
          <cell r="H300" t="str">
            <v>3.592X1.845</v>
          </cell>
          <cell r="I300" t="str">
            <v>11X15B</v>
          </cell>
          <cell r="K300" t="str">
            <v>32nm 32Gb D3</v>
          </cell>
          <cell r="L300" t="str">
            <v>32</v>
          </cell>
        </row>
        <row r="301">
          <cell r="C301" t="str">
            <v>54-82-04382-032G</v>
          </cell>
          <cell r="D301" t="str">
            <v>54-82-04382-032G</v>
          </cell>
          <cell r="E301" t="str">
            <v>54-81-00387</v>
          </cell>
          <cell r="F301" t="str">
            <v>12.247X9.215</v>
          </cell>
          <cell r="G301" t="str">
            <v>20-81-00290</v>
          </cell>
          <cell r="H301" t="str">
            <v>3.592X1.845</v>
          </cell>
          <cell r="I301" t="str">
            <v>11X15B</v>
          </cell>
          <cell r="K301" t="str">
            <v>32nm 32Gb D3</v>
          </cell>
          <cell r="L301" t="str">
            <v>32</v>
          </cell>
        </row>
        <row r="302">
          <cell r="C302" t="str">
            <v>54-82-04385-032G</v>
          </cell>
          <cell r="D302" t="str">
            <v>54-82-04385-032G</v>
          </cell>
          <cell r="E302" t="str">
            <v>54-81-00382</v>
          </cell>
          <cell r="F302" t="str">
            <v>12.247X9.215</v>
          </cell>
          <cell r="G302" t="str">
            <v>20-81-00290</v>
          </cell>
          <cell r="H302" t="str">
            <v>3.592X1.845</v>
          </cell>
          <cell r="I302" t="str">
            <v>11X15B</v>
          </cell>
          <cell r="K302" t="str">
            <v>32nm 32Gb D3</v>
          </cell>
          <cell r="L302" t="str">
            <v>32</v>
          </cell>
        </row>
        <row r="303">
          <cell r="C303" t="str">
            <v>54-82-05986-032G</v>
          </cell>
          <cell r="D303" t="str">
            <v>54-82-05986-032G</v>
          </cell>
          <cell r="E303" t="str">
            <v>54-81-00382</v>
          </cell>
          <cell r="F303" t="str">
            <v>12.247X9.215</v>
          </cell>
          <cell r="G303" t="str">
            <v>20-81-00252</v>
          </cell>
          <cell r="H303" t="str">
            <v>3.592X1.845</v>
          </cell>
          <cell r="I303" t="str">
            <v>11X15B</v>
          </cell>
          <cell r="K303" t="str">
            <v>32nm 32Gb D3</v>
          </cell>
          <cell r="L303" t="str">
            <v>32</v>
          </cell>
        </row>
        <row r="304">
          <cell r="C304" t="str">
            <v>54-82-05916-032G</v>
          </cell>
          <cell r="D304" t="str">
            <v>54-82-05916-032G</v>
          </cell>
          <cell r="E304" t="str">
            <v>54-81-00382</v>
          </cell>
          <cell r="F304" t="str">
            <v>12.247X9.215</v>
          </cell>
          <cell r="G304" t="str">
            <v>20-81-00252</v>
          </cell>
          <cell r="H304" t="str">
            <v>3.592X1.845</v>
          </cell>
          <cell r="I304" t="str">
            <v>11X15B</v>
          </cell>
          <cell r="K304" t="str">
            <v>32nm 32Gb D3</v>
          </cell>
          <cell r="L304" t="str">
            <v>32</v>
          </cell>
        </row>
        <row r="305">
          <cell r="C305" t="str">
            <v xml:space="preserve">54-62-04147-032G </v>
          </cell>
          <cell r="D305" t="str">
            <v xml:space="preserve">54-82-04147-032G </v>
          </cell>
          <cell r="E305" t="str">
            <v>54-81-00382</v>
          </cell>
          <cell r="F305" t="str">
            <v>12.247X9.215</v>
          </cell>
          <cell r="G305" t="str">
            <v>20-81-00252</v>
          </cell>
          <cell r="H305" t="str">
            <v>3.592X1.845</v>
          </cell>
          <cell r="I305" t="str">
            <v>11X15B</v>
          </cell>
          <cell r="J305" t="e">
            <v>#N/A</v>
          </cell>
          <cell r="K305" t="str">
            <v>32nm 32Gb D3</v>
          </cell>
          <cell r="L305" t="str">
            <v>32</v>
          </cell>
        </row>
        <row r="306">
          <cell r="C306" t="str">
            <v>54-82-04604-032G</v>
          </cell>
          <cell r="D306" t="str">
            <v>54-82-04604-032G</v>
          </cell>
          <cell r="E306" t="str">
            <v>54-81-00380</v>
          </cell>
          <cell r="F306" t="str">
            <v>12.247X9.215</v>
          </cell>
          <cell r="G306" t="str">
            <v>20-81-00252</v>
          </cell>
          <cell r="H306" t="str">
            <v>3.592X1.845</v>
          </cell>
          <cell r="I306" t="str">
            <v>11X15B</v>
          </cell>
          <cell r="K306" t="str">
            <v>32nm 32Gb D3</v>
          </cell>
          <cell r="L306" t="str">
            <v>32</v>
          </cell>
        </row>
        <row r="307">
          <cell r="C307" t="str">
            <v>54-82-05720-032G</v>
          </cell>
          <cell r="D307" t="str">
            <v>54-82-05720-032G</v>
          </cell>
          <cell r="E307" t="str">
            <v>54-81-00380</v>
          </cell>
          <cell r="F307" t="str">
            <v>12.247X9.215</v>
          </cell>
          <cell r="G307" t="str">
            <v>20-81-00252</v>
          </cell>
          <cell r="H307" t="str">
            <v>3.592X1.845</v>
          </cell>
          <cell r="I307" t="str">
            <v>11X15B</v>
          </cell>
          <cell r="K307" t="str">
            <v>32nm 32Gb D3</v>
          </cell>
          <cell r="L307" t="str">
            <v>32</v>
          </cell>
        </row>
        <row r="308">
          <cell r="C308" t="str">
            <v>54-82-04147-032G</v>
          </cell>
          <cell r="D308" t="str">
            <v>54-82-04147-032G</v>
          </cell>
          <cell r="E308" t="str">
            <v>54-81-00380</v>
          </cell>
          <cell r="F308" t="str">
            <v>12.247X9.215</v>
          </cell>
          <cell r="G308" t="str">
            <v>20-81-00252</v>
          </cell>
          <cell r="H308" t="str">
            <v>3.592X1.845</v>
          </cell>
          <cell r="I308" t="str">
            <v>11X15B</v>
          </cell>
          <cell r="K308" t="str">
            <v>32nm 32Gb D3</v>
          </cell>
          <cell r="L308" t="str">
            <v>32</v>
          </cell>
        </row>
        <row r="309">
          <cell r="C309" t="str">
            <v>54-82-08651-064G</v>
          </cell>
          <cell r="D309" t="str">
            <v>54-82-08651-064G</v>
          </cell>
          <cell r="E309" t="str">
            <v>54-81-00465</v>
          </cell>
          <cell r="F309" t="str">
            <v>12.590x9.440</v>
          </cell>
          <cell r="G309" t="str">
            <v>20-81-00303</v>
          </cell>
          <cell r="H309" t="str">
            <v>3.456x1.361</v>
          </cell>
          <cell r="I309" t="str">
            <v>11X15A</v>
          </cell>
          <cell r="K309" t="str">
            <v>24nm 64Gb EX3</v>
          </cell>
          <cell r="L309" t="str">
            <v>24</v>
          </cell>
        </row>
        <row r="310">
          <cell r="C310" t="str">
            <v>54-62-07010-002G</v>
          </cell>
          <cell r="D310" t="str">
            <v>54-82-07010-002G</v>
          </cell>
          <cell r="E310" t="str">
            <v>54-81-00396</v>
          </cell>
          <cell r="F310" t="str">
            <v>9.0X7.057</v>
          </cell>
          <cell r="G310" t="str">
            <v>20-81-00303</v>
          </cell>
          <cell r="H310" t="str">
            <v>3.456x1.361</v>
          </cell>
          <cell r="I310" t="str">
            <v>15X10</v>
          </cell>
          <cell r="K310" t="str">
            <v>32nm 16Gb EX3</v>
          </cell>
          <cell r="L310" t="str">
            <v>32</v>
          </cell>
        </row>
        <row r="311">
          <cell r="C311" t="str">
            <v>54-62-07011-004G</v>
          </cell>
          <cell r="D311" t="str">
            <v>54-82-07011-004G</v>
          </cell>
          <cell r="E311" t="str">
            <v>54-81-00477</v>
          </cell>
          <cell r="F311" t="str">
            <v>12.218X9.0</v>
          </cell>
          <cell r="G311" t="str">
            <v>20-81-00303</v>
          </cell>
          <cell r="H311" t="str">
            <v>3.456x1.361</v>
          </cell>
          <cell r="I311" t="str">
            <v>15X10</v>
          </cell>
          <cell r="K311" t="str">
            <v>32nm 32Gb EX3</v>
          </cell>
          <cell r="L311" t="str">
            <v>32</v>
          </cell>
        </row>
        <row r="312">
          <cell r="C312" t="str">
            <v>54-62-06545-002G</v>
          </cell>
          <cell r="D312" t="str">
            <v>54-82-06545-002G</v>
          </cell>
          <cell r="E312" t="str">
            <v>54-81-00396</v>
          </cell>
          <cell r="F312" t="str">
            <v>9.0X7.057</v>
          </cell>
          <cell r="G312" t="str">
            <v>20-81-00277</v>
          </cell>
          <cell r="H312" t="str">
            <v>3.211X1.301</v>
          </cell>
          <cell r="I312" t="str">
            <v>15X10</v>
          </cell>
          <cell r="K312" t="str">
            <v>32nm 16Gb EX3</v>
          </cell>
          <cell r="L312" t="str">
            <v>32</v>
          </cell>
        </row>
        <row r="313">
          <cell r="C313" t="str">
            <v>54-62-04547-002G</v>
          </cell>
          <cell r="D313" t="str">
            <v>54-82-04547-002G</v>
          </cell>
          <cell r="E313" t="str">
            <v>54-81-00344</v>
          </cell>
          <cell r="F313" t="str">
            <v>11.045x7.826</v>
          </cell>
          <cell r="G313" t="str">
            <v>20-81-00250</v>
          </cell>
          <cell r="H313" t="str">
            <v>1.814x1.880</v>
          </cell>
          <cell r="I313" t="str">
            <v>15X10</v>
          </cell>
          <cell r="K313" t="str">
            <v>32nm 16Gb D2</v>
          </cell>
          <cell r="L313" t="str">
            <v>32</v>
          </cell>
        </row>
        <row r="314">
          <cell r="C314" t="str">
            <v>54-62-05691-002G</v>
          </cell>
          <cell r="D314" t="str">
            <v>54-82-05691-002G</v>
          </cell>
          <cell r="E314" t="str">
            <v>54-81-00344</v>
          </cell>
          <cell r="F314" t="str">
            <v>11.045x7.826</v>
          </cell>
          <cell r="G314" t="str">
            <v>20-81-00118</v>
          </cell>
          <cell r="H314" t="str">
            <v>2.485X2.39</v>
          </cell>
          <cell r="I314" t="str">
            <v>15X10</v>
          </cell>
          <cell r="K314" t="str">
            <v>32nm 16Gb D2</v>
          </cell>
          <cell r="L314" t="str">
            <v>32</v>
          </cell>
        </row>
        <row r="315">
          <cell r="C315" t="str">
            <v>54-62-04531-002G</v>
          </cell>
          <cell r="D315" t="str">
            <v>54-82-04531-002G</v>
          </cell>
          <cell r="E315" t="str">
            <v>54-81-00344</v>
          </cell>
          <cell r="F315" t="str">
            <v>11.045x7.826</v>
          </cell>
          <cell r="G315" t="str">
            <v>20-81-00143</v>
          </cell>
          <cell r="H315" t="str">
            <v>1.814x1.880</v>
          </cell>
          <cell r="I315" t="str">
            <v>15X10</v>
          </cell>
          <cell r="K315" t="str">
            <v>32nm 16Gb D2</v>
          </cell>
          <cell r="L315" t="str">
            <v>32</v>
          </cell>
        </row>
        <row r="316">
          <cell r="C316" t="str">
            <v>54-62-04684-004G</v>
          </cell>
          <cell r="D316" t="str">
            <v>54-82-04684-004G</v>
          </cell>
          <cell r="E316" t="str">
            <v>54-81-00379</v>
          </cell>
          <cell r="F316" t="str">
            <v>11.045x7.826</v>
          </cell>
          <cell r="G316" t="str">
            <v>20-81-00251</v>
          </cell>
          <cell r="H316" t="str">
            <v>2.372x2.243</v>
          </cell>
          <cell r="I316" t="str">
            <v>15X18</v>
          </cell>
          <cell r="K316" t="str">
            <v>32nm 16Gb D2</v>
          </cell>
          <cell r="L316" t="str">
            <v>32</v>
          </cell>
        </row>
        <row r="317">
          <cell r="C317" t="str">
            <v>54-62-04630-004G</v>
          </cell>
          <cell r="D317" t="str">
            <v>54-82-04630-004G</v>
          </cell>
          <cell r="E317" t="str">
            <v>54-81-00354</v>
          </cell>
          <cell r="F317" t="str">
            <v>12.218X9.0</v>
          </cell>
          <cell r="G317" t="str">
            <v>20-81-00251</v>
          </cell>
          <cell r="H317" t="str">
            <v>2.372x2.243</v>
          </cell>
          <cell r="I317" t="str">
            <v>15X18</v>
          </cell>
          <cell r="K317" t="str">
            <v>32nm 32Gb EX3</v>
          </cell>
          <cell r="L317" t="str">
            <v>32</v>
          </cell>
        </row>
        <row r="318">
          <cell r="C318" t="str">
            <v>54-62-08336-004G</v>
          </cell>
          <cell r="D318" t="str">
            <v>54-82-08336-004G</v>
          </cell>
          <cell r="E318" t="str">
            <v>54-81-00464</v>
          </cell>
          <cell r="F318" t="str">
            <v>9.780x7.340</v>
          </cell>
          <cell r="G318" t="str">
            <v>20-81-00277</v>
          </cell>
          <cell r="H318" t="str">
            <v>3.211X1.301</v>
          </cell>
          <cell r="I318" t="str">
            <v>15X10</v>
          </cell>
          <cell r="K318" t="str">
            <v>24nm 32Gb EX3</v>
          </cell>
          <cell r="L318" t="str">
            <v>24</v>
          </cell>
        </row>
        <row r="319">
          <cell r="C319" t="str">
            <v>54-62-05603-004G</v>
          </cell>
          <cell r="D319" t="str">
            <v>54-82-05603-004G</v>
          </cell>
          <cell r="E319" t="str">
            <v>54-81-00382</v>
          </cell>
          <cell r="F319" t="str">
            <v>12.247X9.215</v>
          </cell>
          <cell r="G319" t="str">
            <v>20-81-00252</v>
          </cell>
          <cell r="H319" t="str">
            <v>3.592X1.845</v>
          </cell>
          <cell r="I319" t="str">
            <v>15X18</v>
          </cell>
          <cell r="K319" t="str">
            <v>32nm 32Gb D3</v>
          </cell>
          <cell r="L319" t="str">
            <v>32</v>
          </cell>
        </row>
        <row r="320">
          <cell r="C320" t="str">
            <v>54-62-04330-004G</v>
          </cell>
          <cell r="D320" t="str">
            <v>54-82-04330-004G</v>
          </cell>
          <cell r="E320" t="str">
            <v>54-81-00340</v>
          </cell>
          <cell r="F320" t="str">
            <v>12.247X9.215</v>
          </cell>
          <cell r="G320" t="str">
            <v>20-81-00252</v>
          </cell>
          <cell r="H320" t="str">
            <v>3.592X1.845</v>
          </cell>
          <cell r="I320" t="str">
            <v>15X18</v>
          </cell>
          <cell r="K320" t="str">
            <v>32nm 32Gb D3</v>
          </cell>
          <cell r="L320" t="str">
            <v>32</v>
          </cell>
        </row>
        <row r="321">
          <cell r="C321" t="str">
            <v>54-62-08267-008G</v>
          </cell>
          <cell r="D321" t="str">
            <v>54-82-08267-008G</v>
          </cell>
          <cell r="E321" t="str">
            <v>54-81-00465</v>
          </cell>
          <cell r="F321" t="str">
            <v>12.590x9.440</v>
          </cell>
          <cell r="G321" t="str">
            <v>20-81-00277</v>
          </cell>
          <cell r="H321" t="str">
            <v>3.211X1.301</v>
          </cell>
          <cell r="I321" t="str">
            <v>15X18</v>
          </cell>
          <cell r="K321" t="str">
            <v>24nm 64Gb EX3</v>
          </cell>
          <cell r="L321" t="str">
            <v>24</v>
          </cell>
        </row>
        <row r="322">
          <cell r="C322" t="str">
            <v>54-62-04685-008G</v>
          </cell>
          <cell r="D322" t="str">
            <v>54-82-04685-008G</v>
          </cell>
          <cell r="E322" t="str">
            <v>54-81-00359</v>
          </cell>
          <cell r="F322" t="str">
            <v>12.960x10.777</v>
          </cell>
          <cell r="G322" t="str">
            <v>20-81-00251</v>
          </cell>
          <cell r="H322" t="str">
            <v>2.372x2.243</v>
          </cell>
          <cell r="I322" t="str">
            <v>15X18</v>
          </cell>
          <cell r="K322" t="str">
            <v>32nm 32Gb D2</v>
          </cell>
          <cell r="L322" t="str">
            <v>32</v>
          </cell>
        </row>
        <row r="323">
          <cell r="C323" t="str">
            <v>54-62-04638-008G</v>
          </cell>
          <cell r="D323" t="str">
            <v>54-82-04638-008G</v>
          </cell>
          <cell r="E323" t="str">
            <v>54-81-00341</v>
          </cell>
          <cell r="F323" t="str">
            <v>10.970x17.700</v>
          </cell>
          <cell r="G323" t="str">
            <v>20-81-00251</v>
          </cell>
          <cell r="H323" t="str">
            <v>2.372x2.243</v>
          </cell>
          <cell r="I323" t="str">
            <v>15X22</v>
          </cell>
          <cell r="K323" t="str">
            <v>32nm 64Gb EX3</v>
          </cell>
          <cell r="L323" t="str">
            <v>32</v>
          </cell>
        </row>
        <row r="324">
          <cell r="C324" t="str">
            <v>54-62-05603-008G</v>
          </cell>
          <cell r="D324" t="str">
            <v>54-82-05603-008G</v>
          </cell>
          <cell r="E324" t="str">
            <v>54-81-00340</v>
          </cell>
          <cell r="F324" t="str">
            <v>12.247X9.215</v>
          </cell>
          <cell r="G324" t="str">
            <v>20-81-00252</v>
          </cell>
          <cell r="H324" t="str">
            <v>3.592X1.845</v>
          </cell>
          <cell r="I324" t="str">
            <v>15X18</v>
          </cell>
          <cell r="K324" t="str">
            <v>32nm 32Gb D3</v>
          </cell>
          <cell r="L324" t="str">
            <v>32</v>
          </cell>
        </row>
        <row r="325">
          <cell r="C325" t="str">
            <v>54-62-04330-008G</v>
          </cell>
          <cell r="D325" t="str">
            <v>54-82-04330-008G</v>
          </cell>
          <cell r="E325" t="str">
            <v>54-81-00340</v>
          </cell>
          <cell r="F325" t="str">
            <v>12.247X9.215</v>
          </cell>
          <cell r="G325" t="str">
            <v>20-81-00252</v>
          </cell>
          <cell r="H325" t="str">
            <v>3.592X1.845</v>
          </cell>
          <cell r="I325" t="str">
            <v>15X18</v>
          </cell>
          <cell r="K325" t="str">
            <v>32nm 32Gb D3</v>
          </cell>
          <cell r="L325" t="str">
            <v>32</v>
          </cell>
        </row>
        <row r="326">
          <cell r="C326" t="str">
            <v>54-62-08267-016G</v>
          </cell>
          <cell r="D326" t="str">
            <v>54-82-08267-016G</v>
          </cell>
          <cell r="E326" t="str">
            <v>54-81-00465</v>
          </cell>
          <cell r="F326" t="str">
            <v>12.590x9.440</v>
          </cell>
          <cell r="G326" t="str">
            <v>20-81-00277</v>
          </cell>
          <cell r="H326" t="str">
            <v>3.211X1.301</v>
          </cell>
          <cell r="I326" t="str">
            <v>15X18</v>
          </cell>
          <cell r="K326" t="str">
            <v>24nm 64Gb EX3</v>
          </cell>
          <cell r="L326" t="str">
            <v>24</v>
          </cell>
        </row>
        <row r="327">
          <cell r="C327" t="str">
            <v>54-82-04685-016G</v>
          </cell>
          <cell r="D327" t="str">
            <v>54-82-04685-016G</v>
          </cell>
          <cell r="E327" t="str">
            <v>54-81-00359</v>
          </cell>
          <cell r="F327" t="str">
            <v>12.960x10.777</v>
          </cell>
          <cell r="G327" t="str">
            <v>20-81-00251</v>
          </cell>
          <cell r="H327" t="str">
            <v>2.372x2.243</v>
          </cell>
          <cell r="I327" t="str">
            <v>15X18</v>
          </cell>
          <cell r="K327" t="str">
            <v>32nm 32Gb D2</v>
          </cell>
          <cell r="L327" t="str">
            <v>32</v>
          </cell>
        </row>
        <row r="328">
          <cell r="C328" t="str">
            <v>54-62-04638-016G</v>
          </cell>
          <cell r="D328" t="str">
            <v>54-82-04638-016G</v>
          </cell>
          <cell r="E328" t="str">
            <v>54-81-00341</v>
          </cell>
          <cell r="F328" t="str">
            <v>10.970x17.700</v>
          </cell>
          <cell r="G328" t="str">
            <v>20-81-00251</v>
          </cell>
          <cell r="H328" t="str">
            <v>2.372x2.243</v>
          </cell>
          <cell r="I328" t="str">
            <v>15X22</v>
          </cell>
          <cell r="K328" t="str">
            <v>32nm 64Gb EX3</v>
          </cell>
          <cell r="L328" t="str">
            <v>32</v>
          </cell>
        </row>
        <row r="329">
          <cell r="C329" t="str">
            <v>54-82-08267-032G</v>
          </cell>
          <cell r="D329" t="str">
            <v>54-82-08267-032G</v>
          </cell>
          <cell r="E329" t="str">
            <v>54-81-00465</v>
          </cell>
          <cell r="F329" t="str">
            <v>12.590x9.440</v>
          </cell>
          <cell r="G329" t="str">
            <v>20-81-00277</v>
          </cell>
          <cell r="H329" t="str">
            <v>3.211X1.301</v>
          </cell>
          <cell r="I329" t="str">
            <v>15X18</v>
          </cell>
          <cell r="K329" t="str">
            <v>24nm 64Gb EX3</v>
          </cell>
          <cell r="L329" t="str">
            <v>24</v>
          </cell>
        </row>
        <row r="330">
          <cell r="C330" t="str">
            <v>54-82-04638-032G</v>
          </cell>
          <cell r="D330" t="str">
            <v>54-82-04638-032G</v>
          </cell>
          <cell r="E330" t="str">
            <v>54-81-00474</v>
          </cell>
          <cell r="F330" t="str">
            <v>10.970x17.700</v>
          </cell>
          <cell r="G330" t="str">
            <v>20-81-00251</v>
          </cell>
          <cell r="H330" t="str">
            <v>2.372x2.243</v>
          </cell>
          <cell r="I330" t="str">
            <v>15X22</v>
          </cell>
          <cell r="K330" t="str">
            <v>32nm 64Gb EX3</v>
          </cell>
          <cell r="L330" t="str">
            <v>32</v>
          </cell>
        </row>
        <row r="331">
          <cell r="C331" t="str">
            <v>54-82-04685-032G</v>
          </cell>
          <cell r="D331" t="str">
            <v>54-82-04685-032G</v>
          </cell>
          <cell r="E331" t="str">
            <v>54-81-00359</v>
          </cell>
          <cell r="F331" t="str">
            <v>12.960x10.777</v>
          </cell>
          <cell r="G331" t="str">
            <v>20-81-00251</v>
          </cell>
          <cell r="H331" t="str">
            <v>2.372x2.243</v>
          </cell>
          <cell r="I331" t="str">
            <v>15X18</v>
          </cell>
          <cell r="K331" t="str">
            <v>32nm 32Gb D2</v>
          </cell>
          <cell r="L331" t="str">
            <v>32</v>
          </cell>
        </row>
        <row r="332">
          <cell r="C332" t="str">
            <v>54-82-06175-002G</v>
          </cell>
          <cell r="D332" t="str">
            <v>54-82-06175-002G</v>
          </cell>
          <cell r="E332" t="str">
            <v>54-81-00396</v>
          </cell>
          <cell r="F332" t="str">
            <v>9.0X7.057</v>
          </cell>
          <cell r="G332" t="str">
            <v>20-81-00251</v>
          </cell>
          <cell r="H332" t="str">
            <v>2.372x2.243</v>
          </cell>
          <cell r="I332" t="str">
            <v>11.5X13</v>
          </cell>
          <cell r="K332" t="str">
            <v>32nm 16Gb EX3</v>
          </cell>
          <cell r="L332" t="str">
            <v>32</v>
          </cell>
        </row>
        <row r="333">
          <cell r="C333" t="str">
            <v>54-82-06175-002GE</v>
          </cell>
          <cell r="D333" t="str">
            <v>54-82-06175-002GE</v>
          </cell>
          <cell r="E333" t="str">
            <v>54-81-00396</v>
          </cell>
          <cell r="F333" t="str">
            <v>9.0X7.057</v>
          </cell>
          <cell r="G333" t="str">
            <v>20-81-00251</v>
          </cell>
          <cell r="H333" t="str">
            <v>2.372x2.243</v>
          </cell>
          <cell r="I333" t="str">
            <v>11.5X13</v>
          </cell>
          <cell r="K333" t="str">
            <v>32nm 16Gb EX3</v>
          </cell>
          <cell r="L333" t="str">
            <v>32</v>
          </cell>
        </row>
        <row r="334">
          <cell r="C334" t="str">
            <v>54-82-06397-002G</v>
          </cell>
          <cell r="D334" t="str">
            <v>54-82-06397-002G</v>
          </cell>
          <cell r="E334" t="str">
            <v>54-81-00824</v>
          </cell>
          <cell r="F334" t="str">
            <v>11.045x7.826</v>
          </cell>
          <cell r="G334" t="str">
            <v>20-81-00251</v>
          </cell>
          <cell r="H334" t="str">
            <v>2.372x2.243</v>
          </cell>
          <cell r="I334" t="str">
            <v>11.5X13</v>
          </cell>
          <cell r="K334" t="str">
            <v>32nm 16Gb D2</v>
          </cell>
          <cell r="L334" t="str">
            <v>32</v>
          </cell>
        </row>
        <row r="335">
          <cell r="C335" t="str">
            <v>54-82-06439-002G</v>
          </cell>
          <cell r="D335" t="str">
            <v>54-82-06439-002G</v>
          </cell>
          <cell r="E335" t="str">
            <v>54-81-00823</v>
          </cell>
          <cell r="F335" t="str">
            <v>11.045x7.826</v>
          </cell>
          <cell r="G335" t="str">
            <v>20-81-00251</v>
          </cell>
          <cell r="H335" t="str">
            <v>2.372x2.243</v>
          </cell>
          <cell r="I335" t="str">
            <v>11.5X13</v>
          </cell>
          <cell r="K335" t="str">
            <v>32nm 16Gb D2</v>
          </cell>
          <cell r="L335" t="str">
            <v>32</v>
          </cell>
        </row>
        <row r="336">
          <cell r="C336" t="str">
            <v>54-82-06478-002G</v>
          </cell>
          <cell r="D336" t="str">
            <v>54-82-06478-002G</v>
          </cell>
          <cell r="E336" t="str">
            <v>54-81-00823</v>
          </cell>
          <cell r="F336" t="str">
            <v>11.045x7.826</v>
          </cell>
          <cell r="G336" t="str">
            <v>20-81-00251</v>
          </cell>
          <cell r="H336" t="str">
            <v>2.372x2.243</v>
          </cell>
          <cell r="I336" t="str">
            <v>11.5X13</v>
          </cell>
          <cell r="K336" t="str">
            <v>32nm 16Gb D2</v>
          </cell>
          <cell r="L336" t="str">
            <v>32</v>
          </cell>
        </row>
        <row r="337">
          <cell r="C337" t="str">
            <v>54-82-06146-002G</v>
          </cell>
          <cell r="D337" t="str">
            <v>54-82-06146-002G</v>
          </cell>
          <cell r="E337" t="str">
            <v>54-81-00344</v>
          </cell>
          <cell r="F337" t="str">
            <v>11.045x7.826</v>
          </cell>
          <cell r="G337" t="str">
            <v>20-81-00251</v>
          </cell>
          <cell r="H337" t="str">
            <v>2.372x2.243</v>
          </cell>
          <cell r="I337" t="str">
            <v>11.5X13</v>
          </cell>
          <cell r="K337" t="str">
            <v>32nm 16Gb D2</v>
          </cell>
          <cell r="L337" t="str">
            <v>32</v>
          </cell>
        </row>
        <row r="338">
          <cell r="C338" t="str">
            <v>54-82-06147-002G</v>
          </cell>
          <cell r="D338" t="str">
            <v>54-82-06147-002G</v>
          </cell>
          <cell r="E338" t="str">
            <v>54-81-00344</v>
          </cell>
          <cell r="F338" t="str">
            <v>11.045x7.826</v>
          </cell>
          <cell r="G338" t="str">
            <v>20-81-00251</v>
          </cell>
          <cell r="H338" t="str">
            <v>2.372x2.243</v>
          </cell>
          <cell r="I338" t="str">
            <v>11.5X13</v>
          </cell>
          <cell r="K338" t="str">
            <v>32nm 16Gb D2</v>
          </cell>
          <cell r="L338" t="str">
            <v>32</v>
          </cell>
        </row>
        <row r="339">
          <cell r="C339" t="str">
            <v>54-82-06201-004GE</v>
          </cell>
          <cell r="D339" t="str">
            <v>54-82-06201-004GE</v>
          </cell>
          <cell r="E339" t="str">
            <v>54-81-00516</v>
          </cell>
          <cell r="F339" t="str">
            <v>10.408x8.281</v>
          </cell>
          <cell r="G339" t="str">
            <v>20-81-00303</v>
          </cell>
          <cell r="H339" t="str">
            <v>3.456x1.361</v>
          </cell>
          <cell r="I339" t="str">
            <v>11.5X13</v>
          </cell>
          <cell r="K339" t="str">
            <v>24nm 32Gb D2</v>
          </cell>
          <cell r="L339" t="str">
            <v>24</v>
          </cell>
        </row>
        <row r="340">
          <cell r="C340" t="str">
            <v>54-82-06145-004G</v>
          </cell>
          <cell r="D340" t="str">
            <v>54-82-06145-004G</v>
          </cell>
          <cell r="E340" t="str">
            <v>54-81-00477</v>
          </cell>
          <cell r="F340" t="str">
            <v>12.218X9.0</v>
          </cell>
          <cell r="G340" t="str">
            <v>20-81-00251</v>
          </cell>
          <cell r="H340" t="str">
            <v>2.372x2.243</v>
          </cell>
          <cell r="I340" t="str">
            <v>12X16</v>
          </cell>
          <cell r="K340" t="str">
            <v>32nm 32Gb EX3</v>
          </cell>
          <cell r="L340" t="str">
            <v>32</v>
          </cell>
        </row>
        <row r="341">
          <cell r="C341" t="str">
            <v>54-82-06143-004G</v>
          </cell>
          <cell r="D341" t="str">
            <v>54-82-06143-004G</v>
          </cell>
          <cell r="E341" t="str">
            <v>54-81-00479</v>
          </cell>
          <cell r="F341" t="str">
            <v>12.960x10.777</v>
          </cell>
          <cell r="G341" t="str">
            <v>20-81-00251</v>
          </cell>
          <cell r="H341" t="str">
            <v>2.372x2.243</v>
          </cell>
          <cell r="I341" t="str">
            <v>12X16</v>
          </cell>
          <cell r="K341" t="str">
            <v>32nm 32Gb D2</v>
          </cell>
          <cell r="L341" t="str">
            <v>32</v>
          </cell>
        </row>
        <row r="342">
          <cell r="C342" t="str">
            <v>54-82-05049-004G</v>
          </cell>
          <cell r="D342" t="str">
            <v>54-82-05049-004G</v>
          </cell>
          <cell r="E342" t="str">
            <v>54-81-00369</v>
          </cell>
          <cell r="F342" t="str">
            <v>12.960x10.777</v>
          </cell>
          <cell r="G342" t="str">
            <v>20-81-00253</v>
          </cell>
          <cell r="H342" t="str">
            <v>4.590X4.490</v>
          </cell>
          <cell r="I342" t="str">
            <v>16X20</v>
          </cell>
          <cell r="K342" t="str">
            <v>32nm 32Gb D2</v>
          </cell>
          <cell r="L342" t="str">
            <v>32</v>
          </cell>
        </row>
        <row r="343">
          <cell r="C343" t="str">
            <v>54-82-06142-004G</v>
          </cell>
          <cell r="D343" t="str">
            <v>54-82-06142-004G</v>
          </cell>
          <cell r="E343" t="str">
            <v>54-81-00385</v>
          </cell>
          <cell r="F343" t="str">
            <v>12.960x10.777</v>
          </cell>
          <cell r="G343" t="str">
            <v>20-81-00123</v>
          </cell>
          <cell r="H343" t="str">
            <v>2.773X3.230</v>
          </cell>
          <cell r="I343" t="str">
            <v>12X16</v>
          </cell>
          <cell r="K343" t="str">
            <v>32nm 32Gb D2</v>
          </cell>
          <cell r="L343" t="str">
            <v>32</v>
          </cell>
        </row>
        <row r="344">
          <cell r="C344" t="str">
            <v>54-82-06144-004G</v>
          </cell>
          <cell r="D344" t="str">
            <v>54-82-06144-004G</v>
          </cell>
          <cell r="E344" t="str">
            <v>54-81-00397</v>
          </cell>
          <cell r="F344" t="str">
            <v>12.247X9.215</v>
          </cell>
          <cell r="G344" t="str">
            <v>20-81-00251</v>
          </cell>
          <cell r="H344" t="str">
            <v>2.372x2.243</v>
          </cell>
          <cell r="I344" t="str">
            <v>12X16</v>
          </cell>
          <cell r="K344" t="str">
            <v>32nm 32Gb D3</v>
          </cell>
          <cell r="L344" t="str">
            <v>32</v>
          </cell>
        </row>
        <row r="345">
          <cell r="C345" t="str">
            <v>54-82-06464-004G</v>
          </cell>
          <cell r="D345" t="str">
            <v>54-82-06464-004G</v>
          </cell>
          <cell r="E345" t="str">
            <v>54-81-00410</v>
          </cell>
          <cell r="F345" t="str">
            <v>12.960x10.777</v>
          </cell>
          <cell r="G345" t="str">
            <v>20-81-00251</v>
          </cell>
          <cell r="H345" t="str">
            <v>2.372x2.243</v>
          </cell>
          <cell r="I345" t="str">
            <v>12X16</v>
          </cell>
          <cell r="K345" t="str">
            <v>32nm 32Gb D2</v>
          </cell>
          <cell r="L345" t="str">
            <v>32</v>
          </cell>
        </row>
        <row r="346">
          <cell r="C346" t="str">
            <v>54-82-07341-008G</v>
          </cell>
          <cell r="D346" t="str">
            <v>54-82-07341-008G</v>
          </cell>
          <cell r="E346" t="str">
            <v>54-81-00417</v>
          </cell>
          <cell r="F346" t="str">
            <v>9.573x15.741</v>
          </cell>
          <cell r="G346" t="str">
            <v>20-81-00303</v>
          </cell>
          <cell r="H346" t="str">
            <v>3.456x1.361</v>
          </cell>
          <cell r="I346" t="str">
            <v>12X16</v>
          </cell>
          <cell r="K346" t="str">
            <v>24nm 64Gb D2H</v>
          </cell>
          <cell r="L346" t="str">
            <v>24</v>
          </cell>
        </row>
        <row r="347">
          <cell r="C347" t="str">
            <v>54-82-07389-008GE</v>
          </cell>
          <cell r="D347" t="str">
            <v>54-82-07389-008GE</v>
          </cell>
          <cell r="E347" t="str">
            <v>54-81-00422</v>
          </cell>
          <cell r="F347" t="str">
            <v>9.573x15.741</v>
          </cell>
          <cell r="G347" t="str">
            <v>20-81-00303</v>
          </cell>
          <cell r="H347" t="str">
            <v>3.456x1.361</v>
          </cell>
          <cell r="I347" t="str">
            <v>12X16</v>
          </cell>
          <cell r="K347" t="str">
            <v>24nm 64Gb D2H</v>
          </cell>
          <cell r="L347" t="str">
            <v>24</v>
          </cell>
        </row>
        <row r="348">
          <cell r="C348" t="str">
            <v>54-82-06369-008G</v>
          </cell>
          <cell r="D348" t="str">
            <v>54-82-06369-008G</v>
          </cell>
          <cell r="E348" t="str">
            <v>54-81-00422</v>
          </cell>
          <cell r="F348" t="str">
            <v>9.573x15.741</v>
          </cell>
          <cell r="G348" t="str">
            <v>20-81-00303</v>
          </cell>
          <cell r="H348" t="str">
            <v>3.456x1.361</v>
          </cell>
          <cell r="I348" t="str">
            <v>12X16</v>
          </cell>
          <cell r="K348" t="str">
            <v>24nm 64Gb D2H</v>
          </cell>
          <cell r="L348" t="str">
            <v>24</v>
          </cell>
        </row>
        <row r="349">
          <cell r="C349" t="str">
            <v>54-82-06369-008GE</v>
          </cell>
          <cell r="D349" t="str">
            <v>54-82-06369-008GE</v>
          </cell>
          <cell r="E349" t="str">
            <v>54-81-00515</v>
          </cell>
          <cell r="F349" t="str">
            <v>9.573x15.741</v>
          </cell>
          <cell r="G349" t="str">
            <v>20-81-00303</v>
          </cell>
          <cell r="H349" t="str">
            <v>3.456x1.361</v>
          </cell>
          <cell r="I349" t="str">
            <v>12X16</v>
          </cell>
          <cell r="K349" t="str">
            <v>24nm 64Gb D2H</v>
          </cell>
          <cell r="L349" t="str">
            <v>24</v>
          </cell>
        </row>
        <row r="350">
          <cell r="C350" t="str">
            <v>54-82-06143-008G</v>
          </cell>
          <cell r="D350" t="str">
            <v>54-82-06143-008G</v>
          </cell>
          <cell r="E350" t="str">
            <v>54-81-00460</v>
          </cell>
          <cell r="F350" t="str">
            <v>12.960x10.777</v>
          </cell>
          <cell r="G350" t="str">
            <v>20-81-00251</v>
          </cell>
          <cell r="H350" t="str">
            <v>2.372x2.243</v>
          </cell>
          <cell r="I350" t="str">
            <v>12X16</v>
          </cell>
          <cell r="K350" t="str">
            <v>32nm 32Gb D2</v>
          </cell>
          <cell r="L350" t="str">
            <v>32</v>
          </cell>
        </row>
        <row r="351">
          <cell r="C351" t="str">
            <v>54-82-06145-008G</v>
          </cell>
          <cell r="D351" t="str">
            <v>54-82-06145-008G</v>
          </cell>
          <cell r="E351" t="str">
            <v>54-81-00354</v>
          </cell>
          <cell r="F351" t="str">
            <v>12.218X9.0</v>
          </cell>
          <cell r="G351" t="str">
            <v>20-81-00251</v>
          </cell>
          <cell r="H351" t="str">
            <v>2.372x2.243</v>
          </cell>
          <cell r="I351" t="str">
            <v>12X16</v>
          </cell>
          <cell r="K351" t="str">
            <v>32nm 32Gb EX3</v>
          </cell>
          <cell r="L351" t="str">
            <v>32</v>
          </cell>
        </row>
        <row r="352">
          <cell r="C352" t="str">
            <v>54-82-06464-008G</v>
          </cell>
          <cell r="D352" t="str">
            <v>54-82-06464-008G</v>
          </cell>
          <cell r="E352" t="str">
            <v>54-81-00410</v>
          </cell>
          <cell r="F352" t="str">
            <v>12.960x10.777</v>
          </cell>
          <cell r="G352" t="str">
            <v>20-81-00251</v>
          </cell>
          <cell r="H352" t="str">
            <v>2.372x2.243</v>
          </cell>
          <cell r="I352" t="str">
            <v>12X16</v>
          </cell>
          <cell r="K352" t="str">
            <v>32nm 32Gb D2</v>
          </cell>
          <cell r="L352" t="str">
            <v>32</v>
          </cell>
        </row>
        <row r="353">
          <cell r="C353" t="str">
            <v>54-82-06142-008G</v>
          </cell>
          <cell r="D353" t="str">
            <v>54-82-06142-008G</v>
          </cell>
          <cell r="E353" t="str">
            <v>54-81-00461</v>
          </cell>
          <cell r="F353" t="str">
            <v>12.960x10.777</v>
          </cell>
          <cell r="G353" t="str">
            <v>20-81-00123</v>
          </cell>
          <cell r="H353" t="str">
            <v>2.773X3.230</v>
          </cell>
          <cell r="I353" t="str">
            <v>12X16</v>
          </cell>
          <cell r="K353" t="str">
            <v>32nm 32Gb D2</v>
          </cell>
          <cell r="L353" t="str">
            <v>32</v>
          </cell>
        </row>
        <row r="354">
          <cell r="C354" t="str">
            <v>54-82-06184-004G</v>
          </cell>
          <cell r="D354" t="str">
            <v>54-82-06184-004G</v>
          </cell>
          <cell r="E354" t="str">
            <v>54-81-00367</v>
          </cell>
          <cell r="F354" t="str">
            <v>12.960x10.777</v>
          </cell>
          <cell r="G354" t="str">
            <v>20-81-00123</v>
          </cell>
          <cell r="H354" t="str">
            <v>2.773X3.230</v>
          </cell>
          <cell r="I354" t="str">
            <v>12X16</v>
          </cell>
          <cell r="K354" t="str">
            <v>32nm 32Gb D2</v>
          </cell>
          <cell r="L354" t="str">
            <v>32</v>
          </cell>
        </row>
        <row r="355">
          <cell r="C355" t="str">
            <v>54-82-05049-008G</v>
          </cell>
          <cell r="D355" t="str">
            <v>54-82-05049-008G</v>
          </cell>
          <cell r="E355" t="str">
            <v>54-81-00369</v>
          </cell>
          <cell r="F355" t="str">
            <v>12.960x10.777</v>
          </cell>
          <cell r="G355" t="str">
            <v>20-81-00253</v>
          </cell>
          <cell r="H355" t="str">
            <v>4.590X4.490</v>
          </cell>
          <cell r="I355" t="str">
            <v>16X20</v>
          </cell>
          <cell r="K355" t="str">
            <v>32nm 32Gb D2</v>
          </cell>
          <cell r="L355" t="str">
            <v>32</v>
          </cell>
        </row>
        <row r="356">
          <cell r="C356" t="str">
            <v>54-82-06183-008G</v>
          </cell>
          <cell r="D356" t="str">
            <v>54-82-06183-008G</v>
          </cell>
          <cell r="E356" t="str">
            <v>54-81-00367</v>
          </cell>
          <cell r="F356" t="str">
            <v>12.960x10.777</v>
          </cell>
          <cell r="G356" t="str">
            <v>20-81-00123</v>
          </cell>
          <cell r="H356" t="str">
            <v>2.773X3.230</v>
          </cell>
          <cell r="I356" t="str">
            <v>12X16</v>
          </cell>
          <cell r="K356" t="str">
            <v>32nm 32Gb D2</v>
          </cell>
          <cell r="L356" t="str">
            <v>32</v>
          </cell>
        </row>
        <row r="357">
          <cell r="C357" t="str">
            <v>54-82-06145-004GE</v>
          </cell>
          <cell r="D357" t="str">
            <v>54-82-06145-004GE</v>
          </cell>
          <cell r="E357" t="str">
            <v>54-81-00354</v>
          </cell>
          <cell r="F357" t="str">
            <v>12.218X9.0</v>
          </cell>
          <cell r="G357" t="str">
            <v>20-81-00251</v>
          </cell>
          <cell r="H357" t="str">
            <v>2.372x2.243</v>
          </cell>
          <cell r="I357" t="str">
            <v>12X16</v>
          </cell>
          <cell r="K357" t="str">
            <v>32nm 32Gb EX3</v>
          </cell>
          <cell r="L357" t="str">
            <v>32</v>
          </cell>
        </row>
        <row r="358">
          <cell r="C358" t="str">
            <v>54-82-06145-008GE</v>
          </cell>
          <cell r="D358" t="str">
            <v>54-82-06145-008GE</v>
          </cell>
          <cell r="E358" t="str">
            <v>54-81-00354</v>
          </cell>
          <cell r="F358" t="str">
            <v>12.218X9.0</v>
          </cell>
          <cell r="G358" t="str">
            <v>20-81-00251</v>
          </cell>
          <cell r="H358" t="str">
            <v>2.372x2.243</v>
          </cell>
          <cell r="I358" t="str">
            <v>12X16</v>
          </cell>
          <cell r="K358" t="str">
            <v>32nm 32Gb EX3</v>
          </cell>
          <cell r="L358" t="str">
            <v>32</v>
          </cell>
        </row>
        <row r="359">
          <cell r="C359" t="str">
            <v>54-82-06144-008G</v>
          </cell>
          <cell r="D359" t="str">
            <v>54-82-06144-008G</v>
          </cell>
          <cell r="E359" t="str">
            <v>54-81-00391</v>
          </cell>
          <cell r="F359" t="str">
            <v>12.247X9.215</v>
          </cell>
          <cell r="G359" t="str">
            <v>20-81-00251</v>
          </cell>
          <cell r="H359" t="str">
            <v>2.372x2.243</v>
          </cell>
          <cell r="I359" t="str">
            <v>12X16</v>
          </cell>
          <cell r="K359" t="str">
            <v>32nm 32Gb D3</v>
          </cell>
          <cell r="L359" t="str">
            <v>32</v>
          </cell>
        </row>
        <row r="360">
          <cell r="C360" t="str">
            <v>54-82-07389-016GE</v>
          </cell>
          <cell r="D360" t="str">
            <v>54-82-07389-016GE</v>
          </cell>
          <cell r="E360" t="str">
            <v>54-81-00422</v>
          </cell>
          <cell r="F360" t="str">
            <v>9.573x15.741</v>
          </cell>
          <cell r="G360" t="str">
            <v>20-81-00303</v>
          </cell>
          <cell r="H360" t="str">
            <v>3.456x1.361</v>
          </cell>
          <cell r="I360" t="str">
            <v>12X16</v>
          </cell>
          <cell r="K360" t="str">
            <v>24nm 64Gb D2H</v>
          </cell>
          <cell r="L360" t="str">
            <v>24</v>
          </cell>
        </row>
        <row r="361">
          <cell r="C361" t="str">
            <v>54-82-06369-016G</v>
          </cell>
          <cell r="D361" t="str">
            <v>54-82-06369-016G</v>
          </cell>
          <cell r="E361" t="str">
            <v>54-81-00422</v>
          </cell>
          <cell r="F361" t="str">
            <v>9.573x15.741</v>
          </cell>
          <cell r="G361" t="str">
            <v>20-81-00303</v>
          </cell>
          <cell r="H361" t="str">
            <v>3.456x1.361</v>
          </cell>
          <cell r="I361" t="str">
            <v>12X16</v>
          </cell>
          <cell r="K361" t="str">
            <v>24nm 64Gb D2H</v>
          </cell>
          <cell r="L361" t="str">
            <v>24</v>
          </cell>
        </row>
        <row r="362">
          <cell r="C362" t="str">
            <v>54-82-06369-016GE</v>
          </cell>
          <cell r="D362" t="str">
            <v>54-82-06369-016GE</v>
          </cell>
          <cell r="E362" t="str">
            <v>54-81-00515</v>
          </cell>
          <cell r="F362" t="str">
            <v>9.573x15.741</v>
          </cell>
          <cell r="G362" t="str">
            <v>20-81-00303</v>
          </cell>
          <cell r="H362" t="str">
            <v>3.456x1.361</v>
          </cell>
          <cell r="I362" t="str">
            <v>12X16</v>
          </cell>
          <cell r="K362" t="str">
            <v>24nm 64Gb D2H</v>
          </cell>
          <cell r="L362" t="str">
            <v>24</v>
          </cell>
        </row>
        <row r="363">
          <cell r="C363" t="str">
            <v>54-82-07341-016G</v>
          </cell>
          <cell r="D363" t="str">
            <v>54-82-07341-016G</v>
          </cell>
          <cell r="E363" t="str">
            <v>54-81-00417</v>
          </cell>
          <cell r="F363" t="str">
            <v>9.573x15.741</v>
          </cell>
          <cell r="G363" t="str">
            <v>20-81-00303</v>
          </cell>
          <cell r="H363" t="str">
            <v>3.456x1.361</v>
          </cell>
          <cell r="I363" t="str">
            <v>12X16</v>
          </cell>
          <cell r="K363" t="str">
            <v>24nm 64Gb D2H</v>
          </cell>
          <cell r="L363" t="str">
            <v>24</v>
          </cell>
        </row>
        <row r="364">
          <cell r="C364" t="str">
            <v>54-82-07350-016G</v>
          </cell>
          <cell r="D364" t="str">
            <v>54-82-07350-016G</v>
          </cell>
          <cell r="E364" t="str">
            <v>54-81-00471</v>
          </cell>
          <cell r="F364" t="str">
            <v>12.218X9.0</v>
          </cell>
          <cell r="G364" t="str">
            <v>20-81-00251</v>
          </cell>
          <cell r="H364" t="str">
            <v>2.372x2.243</v>
          </cell>
          <cell r="I364" t="str">
            <v>12X16</v>
          </cell>
          <cell r="K364" t="str">
            <v>32nm 32Gb EX3</v>
          </cell>
          <cell r="L364" t="str">
            <v>32</v>
          </cell>
        </row>
        <row r="365">
          <cell r="C365" t="str">
            <v>54-82-06145-016GE</v>
          </cell>
          <cell r="D365" t="str">
            <v>54-82-06145-016GE</v>
          </cell>
          <cell r="E365" t="str">
            <v>54-81-00354</v>
          </cell>
          <cell r="F365" t="str">
            <v>12.218X9.0</v>
          </cell>
          <cell r="G365" t="str">
            <v>20-81-00251</v>
          </cell>
          <cell r="H365" t="str">
            <v>2.372x2.243</v>
          </cell>
          <cell r="I365" t="str">
            <v>12X16</v>
          </cell>
          <cell r="K365" t="str">
            <v>32nm 32Gb EX3</v>
          </cell>
          <cell r="L365" t="str">
            <v>32</v>
          </cell>
        </row>
        <row r="366">
          <cell r="C366" t="str">
            <v>54-82-05049-016G</v>
          </cell>
          <cell r="D366" t="str">
            <v>54-82-05049-016G</v>
          </cell>
          <cell r="E366" t="str">
            <v>54-81-00369</v>
          </cell>
          <cell r="F366" t="str">
            <v>12.960x10.777</v>
          </cell>
          <cell r="G366" t="str">
            <v>20-81-00253</v>
          </cell>
          <cell r="H366" t="str">
            <v>4.590X4.490</v>
          </cell>
          <cell r="I366" t="str">
            <v>16X20</v>
          </cell>
          <cell r="K366" t="str">
            <v>32nm 32Gb D2</v>
          </cell>
          <cell r="L366" t="str">
            <v>32</v>
          </cell>
        </row>
        <row r="367">
          <cell r="C367" t="str">
            <v>54-82-06145-016G</v>
          </cell>
          <cell r="D367" t="str">
            <v>54-82-06145-016G</v>
          </cell>
          <cell r="E367" t="str">
            <v>54-81-00354</v>
          </cell>
          <cell r="F367" t="str">
            <v>12.218X9.0</v>
          </cell>
          <cell r="G367" t="str">
            <v>20-81-00251</v>
          </cell>
          <cell r="H367" t="str">
            <v>2.372x2.243</v>
          </cell>
          <cell r="I367" t="str">
            <v>12X16</v>
          </cell>
          <cell r="K367" t="str">
            <v>32nm 32Gb EX3</v>
          </cell>
          <cell r="L367" t="str">
            <v>32</v>
          </cell>
        </row>
        <row r="368">
          <cell r="C368" t="str">
            <v>54-82-06143-016G</v>
          </cell>
          <cell r="D368" t="str">
            <v>54-82-06143-016G</v>
          </cell>
          <cell r="E368" t="str">
            <v>54-81-00460</v>
          </cell>
          <cell r="F368" t="str">
            <v>12.960x10.777</v>
          </cell>
          <cell r="G368" t="str">
            <v>20-81-00251</v>
          </cell>
          <cell r="H368" t="str">
            <v>2.372x2.243</v>
          </cell>
          <cell r="I368" t="str">
            <v>12X16</v>
          </cell>
          <cell r="K368" t="str">
            <v>32nm 32Gb D2</v>
          </cell>
          <cell r="L368" t="str">
            <v>32</v>
          </cell>
        </row>
        <row r="369">
          <cell r="C369" t="str">
            <v>54-82-06142-016G</v>
          </cell>
          <cell r="D369" t="str">
            <v>54-82-06142-016G</v>
          </cell>
          <cell r="E369" t="str">
            <v>54-81-00461</v>
          </cell>
          <cell r="F369" t="str">
            <v>12.960x10.777</v>
          </cell>
          <cell r="G369" t="str">
            <v>20-81-00123</v>
          </cell>
          <cell r="H369" t="str">
            <v>2.773X3.230</v>
          </cell>
          <cell r="I369" t="str">
            <v>12X16</v>
          </cell>
          <cell r="K369" t="str">
            <v>32nm 32Gb D2</v>
          </cell>
          <cell r="L369" t="str">
            <v>32</v>
          </cell>
        </row>
        <row r="370">
          <cell r="C370" t="str">
            <v>54-82-05006-016G</v>
          </cell>
          <cell r="D370" t="str">
            <v>54-82-05006-016G</v>
          </cell>
          <cell r="E370" t="str">
            <v>54-81-00367</v>
          </cell>
          <cell r="F370" t="str">
            <v>12.960x10.777</v>
          </cell>
          <cell r="G370" t="str">
            <v>20-81-00123</v>
          </cell>
          <cell r="H370" t="str">
            <v>2.773X3.230</v>
          </cell>
          <cell r="I370" t="str">
            <v>14X18</v>
          </cell>
          <cell r="K370" t="str">
            <v>32nm 32Gb D2</v>
          </cell>
          <cell r="L370" t="str">
            <v>32</v>
          </cell>
        </row>
        <row r="371">
          <cell r="C371" t="str">
            <v>54-82-07389-032GE</v>
          </cell>
          <cell r="D371" t="str">
            <v>54-82-07389-032GE</v>
          </cell>
          <cell r="E371" t="str">
            <v>54-81-00417</v>
          </cell>
          <cell r="F371" t="str">
            <v>9.573x15.741</v>
          </cell>
          <cell r="G371" t="str">
            <v>20-81-00303</v>
          </cell>
          <cell r="H371" t="str">
            <v>3.456x1.361</v>
          </cell>
          <cell r="I371" t="str">
            <v>12X16</v>
          </cell>
          <cell r="K371" t="str">
            <v>24nm 64Gb D2H</v>
          </cell>
          <cell r="L371" t="str">
            <v>24</v>
          </cell>
        </row>
        <row r="372">
          <cell r="C372" t="str">
            <v>54-82-06369-032G</v>
          </cell>
          <cell r="D372" t="str">
            <v>54-82-06369-032G</v>
          </cell>
          <cell r="E372" t="str">
            <v>54-81-00406</v>
          </cell>
          <cell r="F372" t="str">
            <v>9.573x15.741</v>
          </cell>
          <cell r="G372" t="str">
            <v>20-81-00303</v>
          </cell>
          <cell r="H372" t="str">
            <v>3.456x1.361</v>
          </cell>
          <cell r="I372" t="str">
            <v>12X16</v>
          </cell>
          <cell r="K372" t="str">
            <v>24nm 64Gb D2H</v>
          </cell>
          <cell r="L372" t="str">
            <v>24</v>
          </cell>
        </row>
        <row r="373">
          <cell r="C373" t="str">
            <v>54-82-06369-032GE</v>
          </cell>
          <cell r="D373" t="str">
            <v>54-82-06369-032GE</v>
          </cell>
          <cell r="E373" t="str">
            <v>54-81-00406</v>
          </cell>
          <cell r="F373" t="str">
            <v>9.573x15.741</v>
          </cell>
          <cell r="G373" t="str">
            <v>20-81-00303</v>
          </cell>
          <cell r="H373" t="str">
            <v>3.456x1.361</v>
          </cell>
          <cell r="I373" t="str">
            <v>12X16</v>
          </cell>
          <cell r="K373" t="str">
            <v>24nm 64Gb D2H</v>
          </cell>
          <cell r="L373" t="str">
            <v>24</v>
          </cell>
        </row>
        <row r="374">
          <cell r="C374" t="str">
            <v>54-82-06102-032G</v>
          </cell>
          <cell r="D374" t="str">
            <v>54-82-06102-032G</v>
          </cell>
          <cell r="E374" t="str">
            <v>54-81-00471</v>
          </cell>
          <cell r="F374" t="str">
            <v>12.218X9.0</v>
          </cell>
          <cell r="G374" t="str">
            <v>20-81-00251</v>
          </cell>
          <cell r="H374" t="str">
            <v>2.372x2.243</v>
          </cell>
          <cell r="I374" t="str">
            <v>14X18</v>
          </cell>
          <cell r="K374" t="str">
            <v>32nm 32Gb EX3</v>
          </cell>
          <cell r="L374" t="str">
            <v>32</v>
          </cell>
        </row>
        <row r="375">
          <cell r="C375" t="str">
            <v>54-82-05049-032G</v>
          </cell>
          <cell r="D375" t="str">
            <v>54-82-05049-032G</v>
          </cell>
          <cell r="E375" t="str">
            <v>54-81-00369</v>
          </cell>
          <cell r="F375" t="str">
            <v>12.960x10.777</v>
          </cell>
          <cell r="G375" t="str">
            <v>20-81-00253</v>
          </cell>
          <cell r="H375" t="str">
            <v>4.590X4.490</v>
          </cell>
          <cell r="I375" t="str">
            <v>16X20</v>
          </cell>
          <cell r="K375" t="str">
            <v>32nm 32Gb D2</v>
          </cell>
          <cell r="L375" t="str">
            <v>32</v>
          </cell>
        </row>
        <row r="376">
          <cell r="C376" t="str">
            <v>54-82-03878-032G</v>
          </cell>
          <cell r="D376" t="str">
            <v>54-82-03878-032G</v>
          </cell>
          <cell r="E376" t="str">
            <v>54-81-00460</v>
          </cell>
          <cell r="F376" t="str">
            <v>12.960x10.777</v>
          </cell>
          <cell r="G376" t="str">
            <v>20-81-00251</v>
          </cell>
          <cell r="H376" t="str">
            <v>2.372x2.243</v>
          </cell>
          <cell r="I376" t="str">
            <v>12X18</v>
          </cell>
          <cell r="K376" t="str">
            <v>32nm 32Gb D2</v>
          </cell>
          <cell r="L376" t="str">
            <v>32</v>
          </cell>
        </row>
        <row r="377">
          <cell r="C377" t="str">
            <v>54-82-06163-032GE</v>
          </cell>
          <cell r="D377" t="str">
            <v>54-82-06163-032GE</v>
          </cell>
          <cell r="E377" t="str">
            <v>54-81-00471</v>
          </cell>
          <cell r="F377" t="str">
            <v>12.218X9.0</v>
          </cell>
          <cell r="G377" t="str">
            <v>20-81-00251</v>
          </cell>
          <cell r="H377" t="str">
            <v>2.372x2.243</v>
          </cell>
          <cell r="I377" t="str">
            <v>12X16</v>
          </cell>
          <cell r="K377" t="str">
            <v>32nm 32Gb EX3</v>
          </cell>
          <cell r="L377" t="str">
            <v>32</v>
          </cell>
        </row>
        <row r="378">
          <cell r="C378" t="str">
            <v>54-82-06102-032GE</v>
          </cell>
          <cell r="D378" t="str">
            <v>54-82-06102-032GE</v>
          </cell>
          <cell r="E378" t="str">
            <v>54-81-00354</v>
          </cell>
          <cell r="F378" t="str">
            <v>12.218X9.0</v>
          </cell>
          <cell r="G378" t="str">
            <v>20-81-00251</v>
          </cell>
          <cell r="H378" t="str">
            <v>2.372x2.243</v>
          </cell>
          <cell r="I378" t="str">
            <v>14X18</v>
          </cell>
          <cell r="K378" t="str">
            <v>32nm 32Gb EX3</v>
          </cell>
          <cell r="L378" t="str">
            <v>32</v>
          </cell>
        </row>
        <row r="379">
          <cell r="C379" t="str">
            <v>54-82-03894-032G</v>
          </cell>
          <cell r="D379" t="str">
            <v>54-82-03894-032G</v>
          </cell>
          <cell r="E379" t="str">
            <v>54-81-00397</v>
          </cell>
          <cell r="F379" t="str">
            <v>12.247X9.215</v>
          </cell>
          <cell r="G379" t="str">
            <v>20-81-00251</v>
          </cell>
          <cell r="H379" t="str">
            <v>2.372x2.243</v>
          </cell>
          <cell r="I379" t="str">
            <v>14X18</v>
          </cell>
          <cell r="K379" t="str">
            <v>32nm 32Gb D3</v>
          </cell>
          <cell r="L379" t="str">
            <v>32</v>
          </cell>
        </row>
        <row r="380">
          <cell r="C380" t="str">
            <v>54-62-03894-032GE</v>
          </cell>
          <cell r="D380" t="str">
            <v>54-82-03894-032GE</v>
          </cell>
          <cell r="E380" t="str">
            <v>54-81-00358</v>
          </cell>
          <cell r="F380" t="str">
            <v>12.247X9.215</v>
          </cell>
          <cell r="G380" t="str">
            <v>20-81-00251</v>
          </cell>
          <cell r="H380" t="str">
            <v>2.372x2.243</v>
          </cell>
          <cell r="I380" t="str">
            <v>14X18</v>
          </cell>
          <cell r="K380" t="str">
            <v>32nm 32Gb D3</v>
          </cell>
          <cell r="L380" t="str">
            <v>32</v>
          </cell>
        </row>
        <row r="381">
          <cell r="C381" t="str">
            <v>54-82-03878-032GE</v>
          </cell>
          <cell r="D381" t="str">
            <v>54-82-03878-032GE</v>
          </cell>
          <cell r="E381" t="str">
            <v>54-81-00460</v>
          </cell>
          <cell r="F381" t="str">
            <v>12.960x10.777</v>
          </cell>
          <cell r="G381" t="str">
            <v>20-81-00251</v>
          </cell>
          <cell r="H381" t="str">
            <v>2.372x2.243</v>
          </cell>
          <cell r="I381" t="str">
            <v>12X18</v>
          </cell>
          <cell r="K381" t="str">
            <v>32nm 32Gb D2</v>
          </cell>
          <cell r="L381" t="str">
            <v>32</v>
          </cell>
        </row>
        <row r="382">
          <cell r="C382" t="str">
            <v>54-82-05008-032G</v>
          </cell>
          <cell r="D382" t="str">
            <v>54-82-05008-032G</v>
          </cell>
          <cell r="E382" t="str">
            <v>54-81-00367</v>
          </cell>
          <cell r="F382" t="str">
            <v>12.960x10.777</v>
          </cell>
          <cell r="G382" t="str">
            <v>20-81-00123</v>
          </cell>
          <cell r="H382" t="str">
            <v>2.773X3.230</v>
          </cell>
          <cell r="I382" t="str">
            <v>14X18</v>
          </cell>
          <cell r="K382" t="str">
            <v>32nm 32Gb D2</v>
          </cell>
          <cell r="L382" t="str">
            <v>32</v>
          </cell>
        </row>
        <row r="383">
          <cell r="C383" t="str">
            <v>54-82-05013-032G</v>
          </cell>
          <cell r="D383" t="str">
            <v>54-82-05013-032G</v>
          </cell>
          <cell r="E383" t="str">
            <v>54-81-00343</v>
          </cell>
          <cell r="F383" t="str">
            <v>12.960x10.777</v>
          </cell>
          <cell r="G383" t="str">
            <v>20-81-00123</v>
          </cell>
          <cell r="H383" t="str">
            <v>2.773X3.230</v>
          </cell>
          <cell r="I383" t="str">
            <v>14X18</v>
          </cell>
          <cell r="K383" t="str">
            <v>32nm 32Gb D2</v>
          </cell>
          <cell r="L383" t="str">
            <v>32</v>
          </cell>
        </row>
        <row r="384">
          <cell r="C384" t="str">
            <v>54-82-05006-032G</v>
          </cell>
          <cell r="D384" t="str">
            <v>54-82-05006-032G</v>
          </cell>
          <cell r="E384" t="str">
            <v>54-81-00343</v>
          </cell>
          <cell r="F384" t="str">
            <v>12.960x10.777</v>
          </cell>
          <cell r="G384" t="str">
            <v>20-81-00123</v>
          </cell>
          <cell r="H384" t="str">
            <v>2.773X3.230</v>
          </cell>
          <cell r="I384" t="str">
            <v>14X18</v>
          </cell>
          <cell r="K384" t="str">
            <v>32nm 32Gb D2</v>
          </cell>
          <cell r="L384" t="str">
            <v>32</v>
          </cell>
        </row>
        <row r="385">
          <cell r="C385" t="str">
            <v>54-82-05008-032GE</v>
          </cell>
          <cell r="D385" t="str">
            <v>54-82-05008-032GE</v>
          </cell>
          <cell r="E385" t="str">
            <v>54-81-00398</v>
          </cell>
          <cell r="F385" t="str">
            <v>12.960x10.777</v>
          </cell>
          <cell r="G385" t="str">
            <v>20-81-00123</v>
          </cell>
          <cell r="H385" t="str">
            <v>2.773X3.230</v>
          </cell>
          <cell r="I385" t="str">
            <v>14X18</v>
          </cell>
          <cell r="K385" t="str">
            <v>32nm 32Gb D2</v>
          </cell>
          <cell r="L385" t="str">
            <v>32</v>
          </cell>
        </row>
        <row r="386">
          <cell r="C386" t="str">
            <v>54-82-06351-064G</v>
          </cell>
          <cell r="D386" t="str">
            <v>54-82-06351-064G</v>
          </cell>
          <cell r="E386" t="str">
            <v>54-81-00341</v>
          </cell>
          <cell r="F386" t="str">
            <v>10.970x17.700</v>
          </cell>
          <cell r="G386" t="str">
            <v>20-81-00251</v>
          </cell>
          <cell r="H386" t="str">
            <v>2.372x2.243</v>
          </cell>
          <cell r="I386" t="str">
            <v>16X20</v>
          </cell>
          <cell r="K386" t="str">
            <v>32nm 64Gb EX3</v>
          </cell>
          <cell r="L386" t="str">
            <v>32</v>
          </cell>
        </row>
        <row r="387">
          <cell r="C387" t="str">
            <v>54-82-07389-064GE</v>
          </cell>
          <cell r="D387" t="str">
            <v>54-82-07389-064GE</v>
          </cell>
          <cell r="E387" t="str">
            <v>54-81-00417</v>
          </cell>
          <cell r="F387" t="str">
            <v>9.573x15.741</v>
          </cell>
          <cell r="G387" t="str">
            <v>20-81-00303</v>
          </cell>
          <cell r="H387" t="str">
            <v>3.456x1.361</v>
          </cell>
          <cell r="I387" t="str">
            <v>12X16</v>
          </cell>
          <cell r="K387" t="str">
            <v>24nm 64Gb D2H</v>
          </cell>
          <cell r="L387" t="str">
            <v>24</v>
          </cell>
        </row>
        <row r="388">
          <cell r="C388" t="str">
            <v>54-82-06369-064GE</v>
          </cell>
          <cell r="D388" t="str">
            <v>54-82-06369-064GE</v>
          </cell>
          <cell r="E388" t="str">
            <v>54-81-00515</v>
          </cell>
          <cell r="F388" t="str">
            <v>9.573x15.741</v>
          </cell>
          <cell r="G388" t="str">
            <v>20-81-00303</v>
          </cell>
          <cell r="H388" t="str">
            <v>3.456x1.361</v>
          </cell>
          <cell r="I388" t="str">
            <v>12X16</v>
          </cell>
          <cell r="K388" t="str">
            <v>24nm 64Gb D2H</v>
          </cell>
          <cell r="L388" t="str">
            <v>24</v>
          </cell>
        </row>
        <row r="389">
          <cell r="C389" t="str">
            <v>54-82-06351-064GE</v>
          </cell>
          <cell r="D389" t="str">
            <v>54-82-06351-064GE</v>
          </cell>
          <cell r="E389" t="str">
            <v>54-81-00341</v>
          </cell>
          <cell r="F389" t="str">
            <v>10.970x17.700</v>
          </cell>
          <cell r="G389" t="str">
            <v>20-81-00251</v>
          </cell>
          <cell r="H389" t="str">
            <v>2.372x2.243</v>
          </cell>
          <cell r="I389" t="str">
            <v>16X20</v>
          </cell>
          <cell r="K389" t="str">
            <v>32nm 64Gb EX3</v>
          </cell>
          <cell r="L389" t="str">
            <v>32</v>
          </cell>
        </row>
        <row r="390">
          <cell r="C390" t="str">
            <v>54-82-05004-064G</v>
          </cell>
          <cell r="D390" t="str">
            <v>54-82-05004-064G</v>
          </cell>
          <cell r="E390" t="str">
            <v>54-81-00341</v>
          </cell>
          <cell r="F390" t="str">
            <v>10.970x17.700</v>
          </cell>
          <cell r="G390" t="str">
            <v>20-81-00251</v>
          </cell>
          <cell r="H390" t="str">
            <v>2.372x2.243</v>
          </cell>
          <cell r="I390" t="str">
            <v>16X20</v>
          </cell>
          <cell r="K390" t="str">
            <v>32nm 64Gb EX3</v>
          </cell>
          <cell r="L390" t="str">
            <v>32</v>
          </cell>
        </row>
        <row r="391">
          <cell r="C391" t="str">
            <v>54-82-07799-008GE</v>
          </cell>
          <cell r="D391" t="str">
            <v>54-82-07799-008GE</v>
          </cell>
          <cell r="E391" t="str">
            <v>54-81-00422</v>
          </cell>
          <cell r="F391" t="str">
            <v>9.573x15.741</v>
          </cell>
          <cell r="G391" t="str">
            <v>20-81-00303</v>
          </cell>
          <cell r="H391" t="str">
            <v>3.456x1.361</v>
          </cell>
          <cell r="I391" t="str">
            <v>12X16</v>
          </cell>
          <cell r="K391" t="str">
            <v>24nm 64Gb D2H</v>
          </cell>
          <cell r="L391" t="str">
            <v>24</v>
          </cell>
        </row>
        <row r="392">
          <cell r="C392" t="str">
            <v>54-82-07798-016GE</v>
          </cell>
          <cell r="D392" t="str">
            <v>54-82-07798-016GE</v>
          </cell>
          <cell r="E392" t="str">
            <v>54-81-00422</v>
          </cell>
          <cell r="F392" t="str">
            <v>9.573x15.741</v>
          </cell>
          <cell r="G392" t="str">
            <v>20-81-00303</v>
          </cell>
          <cell r="H392" t="str">
            <v>3.456x1.361</v>
          </cell>
          <cell r="I392" t="str">
            <v>12X16</v>
          </cell>
          <cell r="K392" t="str">
            <v>24nm 64Gb D2H</v>
          </cell>
          <cell r="L392" t="str">
            <v>24</v>
          </cell>
        </row>
        <row r="393">
          <cell r="C393" t="str">
            <v>54-82-07798-032GE</v>
          </cell>
          <cell r="D393" t="str">
            <v>54-82-07798-032GE</v>
          </cell>
          <cell r="E393" t="str">
            <v>54-81-00422</v>
          </cell>
          <cell r="F393" t="str">
            <v>9.573x15.741</v>
          </cell>
          <cell r="G393" t="str">
            <v>20-81-00303</v>
          </cell>
          <cell r="H393" t="str">
            <v>3.456x1.361</v>
          </cell>
          <cell r="I393" t="str">
            <v>12X16</v>
          </cell>
          <cell r="K393" t="str">
            <v>24nm 64Gb D2H</v>
          </cell>
          <cell r="L393" t="str">
            <v>24</v>
          </cell>
        </row>
        <row r="394">
          <cell r="C394" t="str">
            <v>54-82-05102-008G</v>
          </cell>
          <cell r="D394" t="str">
            <v>54-82-05102-008G</v>
          </cell>
          <cell r="E394" t="str">
            <v>54-81-00400</v>
          </cell>
          <cell r="F394" t="str">
            <v>10.408x8.281</v>
          </cell>
          <cell r="H394">
            <v>0</v>
          </cell>
          <cell r="I394" t="str">
            <v>14X18</v>
          </cell>
          <cell r="K394" t="str">
            <v>24nm 32Gb D2</v>
          </cell>
          <cell r="L394" t="str">
            <v>24</v>
          </cell>
        </row>
        <row r="395">
          <cell r="C395" t="str">
            <v>54-82-05105-016G</v>
          </cell>
          <cell r="D395" t="str">
            <v>54-82-05105-016G</v>
          </cell>
          <cell r="E395" t="str">
            <v>54-81-00411</v>
          </cell>
          <cell r="F395" t="str">
            <v>9.573x15.741</v>
          </cell>
          <cell r="H395">
            <v>0</v>
          </cell>
          <cell r="I395" t="str">
            <v>14X18</v>
          </cell>
          <cell r="K395" t="str">
            <v>24nm 64Gb D2H</v>
          </cell>
          <cell r="L395" t="str">
            <v>24</v>
          </cell>
        </row>
        <row r="396">
          <cell r="C396" t="str">
            <v>54-82-05105-032G</v>
          </cell>
          <cell r="D396" t="str">
            <v>54-82-05105-032G</v>
          </cell>
          <cell r="E396" t="str">
            <v>54-81-00406</v>
          </cell>
          <cell r="F396" t="str">
            <v>9.573x15.741</v>
          </cell>
          <cell r="H396">
            <v>0</v>
          </cell>
          <cell r="I396" t="str">
            <v>14X18</v>
          </cell>
          <cell r="K396" t="str">
            <v>24nm 64Gb D2H</v>
          </cell>
          <cell r="L396" t="str">
            <v>24</v>
          </cell>
        </row>
        <row r="397">
          <cell r="C397" t="str">
            <v>54-82-05105-064G</v>
          </cell>
          <cell r="D397" t="str">
            <v>54-82-05105-064G</v>
          </cell>
          <cell r="E397" t="str">
            <v>54-81-00406</v>
          </cell>
          <cell r="F397" t="str">
            <v>9.573x15.741</v>
          </cell>
          <cell r="H397">
            <v>0</v>
          </cell>
          <cell r="I397" t="str">
            <v>14X18</v>
          </cell>
          <cell r="K397" t="str">
            <v>24nm 64Gb D2H</v>
          </cell>
          <cell r="L397" t="str">
            <v>24</v>
          </cell>
        </row>
        <row r="398">
          <cell r="C398" t="str">
            <v>54-82-05010-008G</v>
          </cell>
          <cell r="D398" t="str">
            <v>54-82-05010-008G</v>
          </cell>
          <cell r="E398" t="str">
            <v>54-81-00385</v>
          </cell>
          <cell r="F398" t="str">
            <v>12.960x10.777</v>
          </cell>
          <cell r="H398">
            <v>0</v>
          </cell>
          <cell r="I398" t="str">
            <v>11X14</v>
          </cell>
          <cell r="K398" t="str">
            <v>32nm 32Gb D2</v>
          </cell>
          <cell r="L398" t="str">
            <v>32</v>
          </cell>
        </row>
        <row r="399">
          <cell r="C399" t="str">
            <v>54-82-05010-016G</v>
          </cell>
          <cell r="D399" t="str">
            <v>54-82-05010-016G</v>
          </cell>
          <cell r="E399" t="str">
            <v>54-81-00385</v>
          </cell>
          <cell r="F399" t="str">
            <v>12.960x10.777</v>
          </cell>
          <cell r="H399">
            <v>0</v>
          </cell>
          <cell r="I399" t="str">
            <v>11X14</v>
          </cell>
          <cell r="K399" t="str">
            <v>32nm 32Gb D2</v>
          </cell>
          <cell r="L399" t="str">
            <v>32</v>
          </cell>
        </row>
        <row r="400">
          <cell r="C400" t="str">
            <v>54-82-05000-016G</v>
          </cell>
          <cell r="D400" t="str">
            <v>54-82-05000-016G</v>
          </cell>
          <cell r="E400" t="str">
            <v>54-81-00385</v>
          </cell>
          <cell r="F400" t="str">
            <v>12.960x10.777</v>
          </cell>
          <cell r="H400">
            <v>0</v>
          </cell>
          <cell r="I400" t="str">
            <v>14X18</v>
          </cell>
          <cell r="K400" t="str">
            <v>32nm 32Gb D2</v>
          </cell>
          <cell r="L400" t="str">
            <v>32</v>
          </cell>
        </row>
        <row r="401">
          <cell r="C401" t="str">
            <v>54-82-05000-032G</v>
          </cell>
          <cell r="D401" t="str">
            <v>54-82-05000-032G</v>
          </cell>
          <cell r="E401" t="str">
            <v>54-81-00395</v>
          </cell>
          <cell r="F401" t="str">
            <v>12.960x10.777</v>
          </cell>
          <cell r="H401">
            <v>0</v>
          </cell>
          <cell r="I401" t="str">
            <v>14X18</v>
          </cell>
          <cell r="K401" t="str">
            <v>32nm 32Gb D2</v>
          </cell>
          <cell r="L401" t="str">
            <v>32</v>
          </cell>
        </row>
        <row r="402">
          <cell r="C402" t="str">
            <v>54-82-05049-064G</v>
          </cell>
          <cell r="D402" t="str">
            <v>54-82-05049-064G</v>
          </cell>
          <cell r="E402" t="str">
            <v>54-81-00384</v>
          </cell>
          <cell r="F402" t="str">
            <v>12.960x10.777</v>
          </cell>
          <cell r="H402">
            <v>0</v>
          </cell>
          <cell r="I402" t="str">
            <v>16X20</v>
          </cell>
          <cell r="J402" t="e">
            <v>#N/A</v>
          </cell>
          <cell r="K402" t="str">
            <v>32nm 32Gb D2</v>
          </cell>
          <cell r="L402" t="str">
            <v>32</v>
          </cell>
        </row>
        <row r="403">
          <cell r="C403" t="str">
            <v>54-82-05070-008G</v>
          </cell>
          <cell r="D403" t="str">
            <v>54-82-05070-008G</v>
          </cell>
          <cell r="E403" t="str">
            <v>54-81-00384</v>
          </cell>
          <cell r="F403" t="str">
            <v>12.960x10.777</v>
          </cell>
          <cell r="I403" t="str">
            <v>14X18</v>
          </cell>
          <cell r="K403" t="str">
            <v>32nm 32Gb D2</v>
          </cell>
          <cell r="L403" t="str">
            <v>32</v>
          </cell>
        </row>
        <row r="404">
          <cell r="C404" t="str">
            <v>54-82-05055-016G</v>
          </cell>
          <cell r="D404" t="str">
            <v>54-82-05055-016G</v>
          </cell>
          <cell r="E404" t="str">
            <v>54-81-00402</v>
          </cell>
          <cell r="F404" t="str">
            <v>15.729x10.027</v>
          </cell>
          <cell r="H404">
            <v>0</v>
          </cell>
          <cell r="I404" t="str">
            <v>14X18</v>
          </cell>
          <cell r="K404" t="str">
            <v>24nm 64Gb D2A</v>
          </cell>
          <cell r="L404" t="str">
            <v>24</v>
          </cell>
        </row>
        <row r="405">
          <cell r="C405" t="str">
            <v>54-82-05022-016G</v>
          </cell>
          <cell r="D405" t="str">
            <v>54-82-05022-016G</v>
          </cell>
          <cell r="E405" t="str">
            <v>54-81-00384</v>
          </cell>
          <cell r="F405" t="str">
            <v>12.960x10.777</v>
          </cell>
          <cell r="H405">
            <v>0</v>
          </cell>
          <cell r="I405" t="str">
            <v>12X18</v>
          </cell>
          <cell r="K405" t="str">
            <v>32nm 32Gb D2</v>
          </cell>
          <cell r="L405" t="str">
            <v>32</v>
          </cell>
        </row>
        <row r="406">
          <cell r="C406" t="str">
            <v>54-82-05032-032G</v>
          </cell>
          <cell r="D406" t="str">
            <v>54-82-05032-032G</v>
          </cell>
          <cell r="E406" t="str">
            <v>54-81-00384</v>
          </cell>
          <cell r="F406" t="str">
            <v>12.960x10.777</v>
          </cell>
          <cell r="H406">
            <v>0</v>
          </cell>
          <cell r="I406" t="str">
            <v>12X18</v>
          </cell>
          <cell r="K406" t="str">
            <v>32nm 32Gb D2</v>
          </cell>
          <cell r="L406" t="str">
            <v>32</v>
          </cell>
        </row>
        <row r="407">
          <cell r="C407" t="str">
            <v>54-82-05022-032G</v>
          </cell>
          <cell r="D407" t="str">
            <v>54-82-05022-032G</v>
          </cell>
          <cell r="E407" t="str">
            <v>54-81-00384</v>
          </cell>
          <cell r="F407" t="str">
            <v>12.960x10.777</v>
          </cell>
          <cell r="H407">
            <v>0</v>
          </cell>
          <cell r="I407" t="str">
            <v>12X18</v>
          </cell>
          <cell r="K407" t="str">
            <v>32nm 32Gb D2</v>
          </cell>
          <cell r="L407" t="str">
            <v>32</v>
          </cell>
        </row>
        <row r="408">
          <cell r="C408" t="str">
            <v>54-82-05028-016G</v>
          </cell>
          <cell r="D408" t="str">
            <v>54-82-05028-016G</v>
          </cell>
          <cell r="E408" t="str">
            <v>54-81-00384</v>
          </cell>
          <cell r="F408" t="str">
            <v>12.960x10.777</v>
          </cell>
          <cell r="H408">
            <v>0</v>
          </cell>
          <cell r="I408" t="str">
            <v>14X18</v>
          </cell>
          <cell r="K408" t="str">
            <v>32nm 32Gb D2</v>
          </cell>
          <cell r="L408" t="str">
            <v>32</v>
          </cell>
        </row>
        <row r="409">
          <cell r="C409" t="str">
            <v>54-82-05070-016G</v>
          </cell>
          <cell r="D409" t="str">
            <v>54-82-05070-016G</v>
          </cell>
          <cell r="E409" t="str">
            <v>54-81-00384</v>
          </cell>
          <cell r="F409" t="str">
            <v>12.960x10.777</v>
          </cell>
          <cell r="H409">
            <v>0</v>
          </cell>
          <cell r="I409" t="str">
            <v>14X18</v>
          </cell>
          <cell r="K409" t="str">
            <v>32nm 32Gb D2</v>
          </cell>
          <cell r="L409" t="str">
            <v>32</v>
          </cell>
        </row>
        <row r="410">
          <cell r="C410" t="str">
            <v>54-82-07008-032G</v>
          </cell>
          <cell r="D410" t="str">
            <v>54-82-07008-032G</v>
          </cell>
          <cell r="E410" t="str">
            <v>54-81-00481</v>
          </cell>
          <cell r="F410" t="str">
            <v>12.960x10.777</v>
          </cell>
          <cell r="H410">
            <v>0</v>
          </cell>
          <cell r="I410" t="str">
            <v>12X18</v>
          </cell>
          <cell r="K410" t="str">
            <v>32nm 32Gb D2</v>
          </cell>
          <cell r="L410" t="str">
            <v>32</v>
          </cell>
        </row>
        <row r="411">
          <cell r="C411" t="str">
            <v>54-82-05003-032G</v>
          </cell>
          <cell r="D411" t="str">
            <v>54-82-05003-032G</v>
          </cell>
          <cell r="E411" t="str">
            <v>54-81-00359</v>
          </cell>
          <cell r="F411" t="str">
            <v>12.960x10.777</v>
          </cell>
          <cell r="H411">
            <v>0</v>
          </cell>
          <cell r="I411" t="str">
            <v>12X18</v>
          </cell>
          <cell r="K411" t="str">
            <v>32nm 32Gb D2</v>
          </cell>
          <cell r="L411" t="str">
            <v>32</v>
          </cell>
        </row>
        <row r="412">
          <cell r="C412" t="str">
            <v>54-82-05028-032G</v>
          </cell>
          <cell r="D412" t="str">
            <v>54-82-05028-032G</v>
          </cell>
          <cell r="E412" t="str">
            <v>54-81-00369</v>
          </cell>
          <cell r="F412" t="str">
            <v>12.960x10.777</v>
          </cell>
          <cell r="H412">
            <v>0</v>
          </cell>
          <cell r="I412" t="str">
            <v>14X18</v>
          </cell>
          <cell r="K412" t="str">
            <v>32nm 32Gb D2</v>
          </cell>
          <cell r="L412" t="str">
            <v>32</v>
          </cell>
        </row>
        <row r="413">
          <cell r="C413" t="str">
            <v>54-82-05055-032G</v>
          </cell>
          <cell r="D413" t="str">
            <v>54-82-05055-032G</v>
          </cell>
          <cell r="E413" t="str">
            <v>54-81-00402</v>
          </cell>
          <cell r="F413" t="str">
            <v>15.729x10.027</v>
          </cell>
          <cell r="H413">
            <v>0</v>
          </cell>
          <cell r="I413" t="str">
            <v>14X18</v>
          </cell>
          <cell r="K413" t="str">
            <v>24nm 64Gb D2A</v>
          </cell>
          <cell r="L413" t="str">
            <v>24</v>
          </cell>
        </row>
        <row r="414">
          <cell r="C414" t="str">
            <v>54-82-05056-032G</v>
          </cell>
          <cell r="D414" t="str">
            <v>54-82-05056-032G</v>
          </cell>
          <cell r="E414" t="str">
            <v>54-81-00402</v>
          </cell>
          <cell r="F414" t="str">
            <v>15.729x10.027</v>
          </cell>
          <cell r="H414">
            <v>0</v>
          </cell>
          <cell r="I414" t="str">
            <v>14X18</v>
          </cell>
          <cell r="K414" t="str">
            <v>24nm 64Gb D2A</v>
          </cell>
          <cell r="L414" t="str">
            <v>24</v>
          </cell>
        </row>
        <row r="415">
          <cell r="C415" t="str">
            <v>54-82-05087-032G</v>
          </cell>
          <cell r="D415" t="str">
            <v>54-82-05087-032G</v>
          </cell>
          <cell r="E415" t="str">
            <v>54-81-00402</v>
          </cell>
          <cell r="F415" t="str">
            <v>15.729x10.027</v>
          </cell>
          <cell r="H415">
            <v>0</v>
          </cell>
          <cell r="I415" t="str">
            <v>14X18</v>
          </cell>
          <cell r="J415" t="e">
            <v>#N/A</v>
          </cell>
          <cell r="K415" t="str">
            <v>24nm 64Gb D2A</v>
          </cell>
          <cell r="L415" t="str">
            <v>24</v>
          </cell>
        </row>
        <row r="416">
          <cell r="C416" t="str">
            <v>54-82-03198-032G</v>
          </cell>
          <cell r="D416" t="str">
            <v>54-82-03198-032G</v>
          </cell>
          <cell r="E416" t="str">
            <v>54-81-00341</v>
          </cell>
          <cell r="F416" t="str">
            <v>10.970x17.700</v>
          </cell>
          <cell r="H416">
            <v>0</v>
          </cell>
          <cell r="I416" t="str">
            <v>14X18</v>
          </cell>
          <cell r="K416" t="str">
            <v>32nm 64Gb EX3</v>
          </cell>
          <cell r="L416" t="str">
            <v>32</v>
          </cell>
        </row>
        <row r="417">
          <cell r="C417" t="str">
            <v>54-82-05029-032G</v>
          </cell>
          <cell r="D417" t="str">
            <v>54-82-05029-032G</v>
          </cell>
          <cell r="E417" t="str">
            <v>54-81-00369</v>
          </cell>
          <cell r="F417" t="str">
            <v>12.960x10.777</v>
          </cell>
          <cell r="H417">
            <v>0</v>
          </cell>
          <cell r="I417" t="str">
            <v>14X18</v>
          </cell>
          <cell r="K417" t="str">
            <v>32nm 32Gb D2</v>
          </cell>
          <cell r="L417" t="str">
            <v>32</v>
          </cell>
        </row>
        <row r="418">
          <cell r="C418" t="str">
            <v>54-82-07028-064G</v>
          </cell>
          <cell r="D418" t="str">
            <v>54-82-07028-064G</v>
          </cell>
          <cell r="E418" t="str">
            <v>54-81-00465</v>
          </cell>
          <cell r="F418" t="str">
            <v>12.590x9.440</v>
          </cell>
          <cell r="H418">
            <v>0</v>
          </cell>
          <cell r="I418" t="str">
            <v>14X18</v>
          </cell>
          <cell r="K418" t="str">
            <v>24nm 64Gb EX3</v>
          </cell>
          <cell r="L418" t="str">
            <v>24</v>
          </cell>
        </row>
        <row r="419">
          <cell r="C419" t="str">
            <v>54-82-05056-064G</v>
          </cell>
          <cell r="D419" t="str">
            <v>54-82-05056-064G</v>
          </cell>
          <cell r="E419" t="str">
            <v>54-81-00402</v>
          </cell>
          <cell r="F419" t="str">
            <v>15.729x10.027</v>
          </cell>
          <cell r="H419">
            <v>0</v>
          </cell>
          <cell r="I419" t="str">
            <v>14X18</v>
          </cell>
          <cell r="K419" t="str">
            <v>24nm 64Gb D2A</v>
          </cell>
          <cell r="L419" t="str">
            <v>24</v>
          </cell>
        </row>
        <row r="420">
          <cell r="C420" t="str">
            <v>54-82-05055-064G</v>
          </cell>
          <cell r="D420" t="str">
            <v>54-82-05055-064G</v>
          </cell>
          <cell r="E420" t="str">
            <v>54-81-00402</v>
          </cell>
          <cell r="F420" t="str">
            <v>15.729x10.027</v>
          </cell>
          <cell r="H420">
            <v>0</v>
          </cell>
          <cell r="I420" t="str">
            <v>14X18</v>
          </cell>
          <cell r="K420" t="str">
            <v>24nm 64Gb D2A</v>
          </cell>
          <cell r="L420" t="str">
            <v>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0"/>
  <sheetViews>
    <sheetView workbookViewId="0">
      <selection activeCell="E10" sqref="E10"/>
    </sheetView>
  </sheetViews>
  <sheetFormatPr defaultRowHeight="15"/>
  <cols>
    <col min="1" max="3" width="9" style="1"/>
    <col min="4" max="4" width="25.375" style="1" bestFit="1" customWidth="1"/>
    <col min="5" max="16384" width="9" style="1"/>
  </cols>
  <sheetData>
    <row r="1" spans="2:4">
      <c r="C1" s="21" t="s">
        <v>373</v>
      </c>
    </row>
    <row r="2" spans="2:4">
      <c r="B2" s="1">
        <v>1</v>
      </c>
      <c r="C2" s="1" t="s">
        <v>372</v>
      </c>
    </row>
    <row r="3" spans="2:4">
      <c r="B3" s="1">
        <v>2</v>
      </c>
      <c r="C3" s="1" t="s">
        <v>371</v>
      </c>
    </row>
    <row r="5" spans="2:4">
      <c r="C5" s="36" t="s">
        <v>380</v>
      </c>
      <c r="D5" s="36" t="s">
        <v>381</v>
      </c>
    </row>
    <row r="6" spans="2:4">
      <c r="C6" s="2" t="s">
        <v>390</v>
      </c>
      <c r="D6" s="2" t="s">
        <v>386</v>
      </c>
    </row>
    <row r="7" spans="2:4">
      <c r="C7" s="2" t="s">
        <v>382</v>
      </c>
      <c r="D7" s="2" t="s">
        <v>389</v>
      </c>
    </row>
    <row r="8" spans="2:4">
      <c r="C8" s="2" t="s">
        <v>383</v>
      </c>
      <c r="D8" s="2" t="s">
        <v>387</v>
      </c>
    </row>
    <row r="9" spans="2:4">
      <c r="C9" s="2" t="s">
        <v>384</v>
      </c>
      <c r="D9" s="2" t="s">
        <v>388</v>
      </c>
    </row>
    <row r="10" spans="2:4">
      <c r="C10" s="2" t="s">
        <v>385</v>
      </c>
      <c r="D10" s="2" t="s">
        <v>393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K18"/>
  <sheetViews>
    <sheetView zoomScaleNormal="100" workbookViewId="0">
      <selection activeCell="D18" sqref="D18"/>
    </sheetView>
  </sheetViews>
  <sheetFormatPr defaultRowHeight="15"/>
  <cols>
    <col min="1" max="16384" width="9" style="1"/>
  </cols>
  <sheetData>
    <row r="2" spans="7:11" ht="26.25">
      <c r="G2" s="18" t="s">
        <v>302</v>
      </c>
    </row>
    <row r="4" spans="7:11">
      <c r="K4" s="17"/>
    </row>
    <row r="17" spans="3:3">
      <c r="C17" s="1" t="s">
        <v>319</v>
      </c>
    </row>
    <row r="18" spans="3:3">
      <c r="C18" s="1" t="s">
        <v>320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G2" sqref="G2"/>
    </sheetView>
  </sheetViews>
  <sheetFormatPr defaultRowHeight="15"/>
  <cols>
    <col min="1" max="1" width="4.25" style="1" bestFit="1" customWidth="1"/>
    <col min="2" max="3" width="9" style="1"/>
    <col min="4" max="4" width="16.375" style="1" bestFit="1" customWidth="1"/>
    <col min="5" max="5" width="11.5" style="1" bestFit="1" customWidth="1"/>
    <col min="6" max="6" width="12.625" style="1" bestFit="1" customWidth="1"/>
    <col min="7" max="16384" width="9" style="1"/>
  </cols>
  <sheetData>
    <row r="1" spans="1:6">
      <c r="A1" s="35" t="s">
        <v>236</v>
      </c>
      <c r="B1" s="35" t="s">
        <v>307</v>
      </c>
      <c r="C1" s="35" t="s">
        <v>229</v>
      </c>
      <c r="D1" s="35" t="s">
        <v>391</v>
      </c>
      <c r="E1" s="35" t="s">
        <v>312</v>
      </c>
      <c r="F1" s="35" t="s">
        <v>392</v>
      </c>
    </row>
    <row r="2" spans="1:6">
      <c r="A2" s="2">
        <v>1</v>
      </c>
      <c r="B2" s="2" t="s">
        <v>230</v>
      </c>
      <c r="C2" s="2">
        <v>8</v>
      </c>
      <c r="D2" s="22" t="s">
        <v>313</v>
      </c>
      <c r="E2" s="2">
        <v>2</v>
      </c>
      <c r="F2" s="3">
        <v>0.9</v>
      </c>
    </row>
    <row r="3" spans="1:6">
      <c r="A3" s="2">
        <v>2</v>
      </c>
      <c r="B3" s="2" t="s">
        <v>231</v>
      </c>
      <c r="C3" s="2">
        <v>17</v>
      </c>
      <c r="D3" s="22" t="s">
        <v>314</v>
      </c>
      <c r="E3" s="2">
        <v>9</v>
      </c>
      <c r="F3" s="3">
        <v>0.85</v>
      </c>
    </row>
    <row r="4" spans="1:6">
      <c r="A4" s="2">
        <v>3</v>
      </c>
      <c r="B4" s="2" t="s">
        <v>232</v>
      </c>
      <c r="C4" s="2">
        <v>31</v>
      </c>
      <c r="D4" s="22" t="s">
        <v>315</v>
      </c>
      <c r="E4" s="2">
        <v>6</v>
      </c>
      <c r="F4" s="3">
        <v>0.95</v>
      </c>
    </row>
    <row r="5" spans="1:6">
      <c r="A5" s="2">
        <v>4</v>
      </c>
      <c r="B5" s="2" t="s">
        <v>233</v>
      </c>
      <c r="C5" s="2">
        <v>112</v>
      </c>
      <c r="D5" s="22" t="s">
        <v>315</v>
      </c>
      <c r="E5" s="2">
        <v>19</v>
      </c>
      <c r="F5" s="3">
        <v>0.9</v>
      </c>
    </row>
    <row r="6" spans="1:6">
      <c r="A6" s="2">
        <v>5</v>
      </c>
      <c r="B6" s="2" t="s">
        <v>234</v>
      </c>
      <c r="C6" s="2">
        <v>284</v>
      </c>
      <c r="D6" s="22" t="s">
        <v>316</v>
      </c>
      <c r="E6" s="2">
        <v>24</v>
      </c>
      <c r="F6" s="3">
        <v>0.85</v>
      </c>
    </row>
    <row r="7" spans="1:6">
      <c r="A7" s="2">
        <v>6</v>
      </c>
      <c r="B7" s="2" t="s">
        <v>235</v>
      </c>
      <c r="C7" s="2">
        <v>7</v>
      </c>
      <c r="D7" s="22" t="s">
        <v>317</v>
      </c>
      <c r="E7" s="2">
        <v>7</v>
      </c>
      <c r="F7" s="3">
        <v>0.75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I21"/>
  <sheetViews>
    <sheetView workbookViewId="0">
      <selection activeCell="F8" sqref="F8"/>
    </sheetView>
  </sheetViews>
  <sheetFormatPr defaultRowHeight="15"/>
  <cols>
    <col min="1" max="1" width="9" style="1"/>
    <col min="2" max="2" width="2.375" style="1" bestFit="1" customWidth="1"/>
    <col min="3" max="4" width="9" style="1"/>
    <col min="5" max="5" width="25" style="1" bestFit="1" customWidth="1"/>
    <col min="6" max="16384" width="9" style="1"/>
  </cols>
  <sheetData>
    <row r="1" spans="2:6">
      <c r="C1" s="21" t="s">
        <v>309</v>
      </c>
    </row>
    <row r="2" spans="2:6">
      <c r="B2" s="1">
        <v>1</v>
      </c>
      <c r="C2" s="1" t="s">
        <v>303</v>
      </c>
    </row>
    <row r="3" spans="2:6">
      <c r="B3" s="1">
        <v>2</v>
      </c>
      <c r="C3" s="1" t="s">
        <v>374</v>
      </c>
    </row>
    <row r="4" spans="2:6">
      <c r="C4" s="20" t="s">
        <v>307</v>
      </c>
      <c r="D4" s="20" t="s">
        <v>308</v>
      </c>
      <c r="E4" s="20" t="s">
        <v>377</v>
      </c>
      <c r="F4" s="20" t="s">
        <v>367</v>
      </c>
    </row>
    <row r="5" spans="2:6">
      <c r="C5" s="2" t="s">
        <v>0</v>
      </c>
      <c r="D5" s="2" t="s">
        <v>300</v>
      </c>
      <c r="E5" s="2" t="s">
        <v>375</v>
      </c>
      <c r="F5" s="2" t="s">
        <v>368</v>
      </c>
    </row>
    <row r="6" spans="2:6">
      <c r="C6" s="2" t="s">
        <v>1</v>
      </c>
      <c r="D6" s="2" t="s">
        <v>300</v>
      </c>
      <c r="E6" s="2" t="s">
        <v>375</v>
      </c>
      <c r="F6" s="2"/>
    </row>
    <row r="7" spans="2:6">
      <c r="C7" s="2" t="s">
        <v>2</v>
      </c>
      <c r="D7" s="2" t="s">
        <v>300</v>
      </c>
      <c r="E7" s="2" t="s">
        <v>375</v>
      </c>
      <c r="F7" s="2"/>
    </row>
    <row r="8" spans="2:6">
      <c r="C8" s="2" t="s">
        <v>3</v>
      </c>
      <c r="D8" s="2" t="s">
        <v>294</v>
      </c>
      <c r="E8" s="2" t="s">
        <v>376</v>
      </c>
      <c r="F8" s="2" t="s">
        <v>369</v>
      </c>
    </row>
    <row r="9" spans="2:6">
      <c r="C9" s="2" t="s">
        <v>4</v>
      </c>
      <c r="D9" s="2" t="s">
        <v>294</v>
      </c>
      <c r="E9" s="45" t="s">
        <v>412</v>
      </c>
      <c r="F9" s="2"/>
    </row>
    <row r="10" spans="2:6">
      <c r="C10" s="2" t="s">
        <v>5</v>
      </c>
      <c r="D10" s="2" t="s">
        <v>294</v>
      </c>
      <c r="E10" s="2" t="s">
        <v>376</v>
      </c>
      <c r="F10" s="2"/>
    </row>
    <row r="11" spans="2:6">
      <c r="B11" s="1">
        <v>3</v>
      </c>
      <c r="C11" s="1" t="s">
        <v>378</v>
      </c>
    </row>
    <row r="12" spans="2:6">
      <c r="C12" s="34">
        <v>3.1</v>
      </c>
      <c r="D12" s="1" t="s">
        <v>394</v>
      </c>
    </row>
    <row r="13" spans="2:6">
      <c r="C13" s="34">
        <v>3.2</v>
      </c>
      <c r="D13" s="1" t="s">
        <v>395</v>
      </c>
    </row>
    <row r="14" spans="2:6">
      <c r="B14" s="1">
        <v>4</v>
      </c>
      <c r="C14" s="1" t="s">
        <v>318</v>
      </c>
    </row>
    <row r="15" spans="2:6">
      <c r="B15" s="1">
        <v>5</v>
      </c>
      <c r="C15" s="1" t="s">
        <v>379</v>
      </c>
    </row>
    <row r="16" spans="2:6">
      <c r="B16" s="1">
        <v>6</v>
      </c>
      <c r="C16" s="1" t="s">
        <v>311</v>
      </c>
    </row>
    <row r="19" spans="2:9">
      <c r="C19" s="21" t="s">
        <v>310</v>
      </c>
      <c r="H19" s="1">
        <v>100</v>
      </c>
      <c r="I19" s="1">
        <v>200</v>
      </c>
    </row>
    <row r="20" spans="2:9">
      <c r="B20" s="1">
        <v>1</v>
      </c>
      <c r="C20" s="1" t="s">
        <v>370</v>
      </c>
      <c r="G20" s="1" t="s">
        <v>396</v>
      </c>
      <c r="H20" s="1">
        <v>30</v>
      </c>
      <c r="I20" s="1">
        <v>60</v>
      </c>
    </row>
    <row r="21" spans="2:9">
      <c r="B21" s="1">
        <v>2</v>
      </c>
      <c r="C21" s="1" t="s">
        <v>301</v>
      </c>
      <c r="G21" s="1" t="s">
        <v>397</v>
      </c>
      <c r="I21" s="1">
        <v>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>
      <pane ySplit="2" topLeftCell="A12" activePane="bottomLeft" state="frozen"/>
      <selection pane="bottomLeft" activeCell="N20" sqref="N20"/>
    </sheetView>
  </sheetViews>
  <sheetFormatPr defaultColWidth="9.125" defaultRowHeight="15"/>
  <cols>
    <col min="1" max="1" width="15.5" style="7" bestFit="1" customWidth="1"/>
    <col min="2" max="2" width="11.5" style="13" customWidth="1"/>
    <col min="3" max="3" width="9.875" style="13" customWidth="1"/>
    <col min="4" max="4" width="9.25" style="13" customWidth="1"/>
    <col min="5" max="5" width="9.625" style="13" customWidth="1"/>
    <col min="6" max="7" width="9.125" style="12"/>
    <col min="8" max="9" width="7.125" style="7" bestFit="1" customWidth="1"/>
    <col min="10" max="10" width="6.25" style="7" bestFit="1" customWidth="1"/>
    <col min="11" max="12" width="4.875" style="7" bestFit="1" customWidth="1"/>
    <col min="13" max="13" width="7.125" style="7" bestFit="1" customWidth="1"/>
    <col min="14" max="14" width="22.625" style="7" bestFit="1" customWidth="1"/>
    <col min="15" max="16384" width="9.125" style="7"/>
  </cols>
  <sheetData>
    <row r="1" spans="1:14" s="25" customFormat="1">
      <c r="A1" s="38" t="s">
        <v>364</v>
      </c>
      <c r="B1" s="40" t="s">
        <v>365</v>
      </c>
      <c r="C1" s="42" t="s">
        <v>327</v>
      </c>
      <c r="D1" s="42" t="s">
        <v>330</v>
      </c>
      <c r="E1" s="42" t="s">
        <v>329</v>
      </c>
      <c r="F1" s="42" t="s">
        <v>328</v>
      </c>
      <c r="G1" s="42" t="s">
        <v>331</v>
      </c>
      <c r="H1" s="37" t="s">
        <v>366</v>
      </c>
      <c r="I1" s="37"/>
      <c r="J1" s="37"/>
      <c r="K1" s="37"/>
      <c r="L1" s="37"/>
      <c r="M1" s="37"/>
    </row>
    <row r="2" spans="1:14" s="25" customFormat="1">
      <c r="A2" s="39"/>
      <c r="B2" s="41"/>
      <c r="C2" s="43"/>
      <c r="D2" s="43"/>
      <c r="E2" s="43"/>
      <c r="F2" s="43"/>
      <c r="G2" s="43"/>
      <c r="H2" s="31" t="s">
        <v>321</v>
      </c>
      <c r="I2" s="32" t="s">
        <v>322</v>
      </c>
      <c r="J2" s="31" t="s">
        <v>323</v>
      </c>
      <c r="K2" s="31" t="s">
        <v>324</v>
      </c>
      <c r="L2" s="33" t="s">
        <v>325</v>
      </c>
      <c r="M2" s="33" t="s">
        <v>326</v>
      </c>
      <c r="N2" s="25" t="s">
        <v>411</v>
      </c>
    </row>
    <row r="3" spans="1:14">
      <c r="A3" s="26" t="s">
        <v>332</v>
      </c>
      <c r="B3" s="27">
        <v>420000</v>
      </c>
      <c r="C3" s="29">
        <v>21000</v>
      </c>
      <c r="D3" s="27">
        <v>7040</v>
      </c>
      <c r="E3" s="27">
        <v>1760</v>
      </c>
      <c r="F3" s="30">
        <v>20</v>
      </c>
      <c r="G3" s="28">
        <v>60</v>
      </c>
      <c r="H3" s="27">
        <v>37193.460490463214</v>
      </c>
      <c r="I3" s="27">
        <v>17108.99182561308</v>
      </c>
      <c r="J3" s="27">
        <v>2951.3513513513512</v>
      </c>
      <c r="K3" s="27">
        <v>563.88888888888891</v>
      </c>
      <c r="L3" s="27">
        <v>320</v>
      </c>
      <c r="M3" s="27">
        <v>14889.6</v>
      </c>
      <c r="N3" s="44" t="s">
        <v>398</v>
      </c>
    </row>
    <row r="4" spans="1:14">
      <c r="A4" s="26" t="s">
        <v>29</v>
      </c>
      <c r="B4" s="27">
        <v>100000</v>
      </c>
      <c r="C4" s="29">
        <v>21000</v>
      </c>
      <c r="D4" s="27">
        <v>6400</v>
      </c>
      <c r="E4" s="27">
        <v>1600</v>
      </c>
      <c r="F4" s="30">
        <v>4.7619047619047619</v>
      </c>
      <c r="G4" s="28">
        <v>19.047619047619047</v>
      </c>
      <c r="H4" s="27">
        <v>39252.336448598129</v>
      </c>
      <c r="I4" s="27">
        <v>18056.074766355141</v>
      </c>
      <c r="J4" s="27">
        <v>4200</v>
      </c>
      <c r="K4" s="27">
        <v>944.18604651162798</v>
      </c>
      <c r="L4" s="27">
        <v>315</v>
      </c>
      <c r="M4" s="27">
        <v>13536</v>
      </c>
      <c r="N4" s="7" t="s">
        <v>399</v>
      </c>
    </row>
    <row r="5" spans="1:14">
      <c r="A5" s="26" t="s">
        <v>33</v>
      </c>
      <c r="B5" s="27">
        <v>250440</v>
      </c>
      <c r="C5" s="29">
        <v>15000</v>
      </c>
      <c r="D5" s="27">
        <v>6400</v>
      </c>
      <c r="E5" s="27">
        <v>1600</v>
      </c>
      <c r="F5" s="30">
        <v>16.696000000000002</v>
      </c>
      <c r="G5" s="28">
        <v>50.088000000000008</v>
      </c>
      <c r="H5" s="27">
        <v>28571.428571428569</v>
      </c>
      <c r="I5" s="27">
        <v>13142.857142857143</v>
      </c>
      <c r="J5" s="27">
        <v>3911.4503816793895</v>
      </c>
      <c r="K5" s="27">
        <v>944.18604651162798</v>
      </c>
      <c r="L5" s="27">
        <v>270</v>
      </c>
      <c r="M5" s="27">
        <v>13536</v>
      </c>
      <c r="N5" s="7" t="s">
        <v>400</v>
      </c>
    </row>
    <row r="6" spans="1:14">
      <c r="A6" s="26" t="s">
        <v>38</v>
      </c>
      <c r="B6" s="27">
        <v>100440</v>
      </c>
      <c r="C6" s="29">
        <v>15000</v>
      </c>
      <c r="D6" s="27">
        <v>6400</v>
      </c>
      <c r="E6" s="27">
        <v>1600</v>
      </c>
      <c r="F6" s="30">
        <v>6.6959999999999997</v>
      </c>
      <c r="G6" s="28">
        <v>20.088000000000001</v>
      </c>
      <c r="H6" s="27">
        <v>28571.428571428569</v>
      </c>
      <c r="I6" s="27">
        <v>13142.857142857143</v>
      </c>
      <c r="J6" s="27">
        <v>3911.4503816793895</v>
      </c>
      <c r="K6" s="27">
        <v>944.18604651162798</v>
      </c>
      <c r="L6" s="27">
        <v>270</v>
      </c>
      <c r="M6" s="27">
        <v>13536</v>
      </c>
      <c r="N6" s="7" t="s">
        <v>410</v>
      </c>
    </row>
    <row r="7" spans="1:14">
      <c r="A7" s="26" t="s">
        <v>333</v>
      </c>
      <c r="B7" s="27">
        <v>85000</v>
      </c>
      <c r="C7" s="29">
        <v>1625</v>
      </c>
      <c r="D7" s="27">
        <v>1440</v>
      </c>
      <c r="E7" s="27">
        <v>720</v>
      </c>
      <c r="F7" s="30">
        <v>52.307692307692307</v>
      </c>
      <c r="G7" s="28">
        <v>104.61538461538461</v>
      </c>
      <c r="H7" s="27">
        <v>1681.5920398009951</v>
      </c>
      <c r="I7" s="27">
        <v>937.81094527363189</v>
      </c>
      <c r="J7" s="27">
        <v>343.98625429553266</v>
      </c>
      <c r="K7" s="27">
        <v>263.19018404907979</v>
      </c>
      <c r="L7" s="27">
        <v>110</v>
      </c>
      <c r="M7" s="27">
        <v>12182.4</v>
      </c>
      <c r="N7" s="7" t="s">
        <v>401</v>
      </c>
    </row>
    <row r="8" spans="1:14">
      <c r="A8" s="26" t="s">
        <v>45</v>
      </c>
      <c r="B8" s="27">
        <v>106224</v>
      </c>
      <c r="C8" s="29">
        <v>9000</v>
      </c>
      <c r="D8" s="27">
        <v>5760</v>
      </c>
      <c r="E8" s="27">
        <v>1440</v>
      </c>
      <c r="F8" s="30">
        <v>11.802666666666667</v>
      </c>
      <c r="G8" s="28">
        <v>23.605333333333334</v>
      </c>
      <c r="H8" s="27">
        <v>17018.18181818182</v>
      </c>
      <c r="I8" s="27">
        <v>7903.8841342988808</v>
      </c>
      <c r="J8" s="27">
        <v>2990.616375344986</v>
      </c>
      <c r="K8" s="27">
        <v>897.61904761904771</v>
      </c>
      <c r="L8" s="27">
        <v>240</v>
      </c>
      <c r="M8" s="27">
        <v>12182.4</v>
      </c>
      <c r="N8" s="7" t="s">
        <v>402</v>
      </c>
    </row>
    <row r="9" spans="1:14">
      <c r="A9" s="26" t="s">
        <v>50</v>
      </c>
      <c r="B9" s="27">
        <v>125000</v>
      </c>
      <c r="C9" s="29">
        <v>9000</v>
      </c>
      <c r="D9" s="27">
        <v>5760</v>
      </c>
      <c r="E9" s="27">
        <v>1440</v>
      </c>
      <c r="F9" s="30">
        <v>13.888888888888889</v>
      </c>
      <c r="G9" s="28">
        <v>27.777777777777779</v>
      </c>
      <c r="H9" s="27">
        <v>17018.18181818182</v>
      </c>
      <c r="I9" s="27">
        <v>7903.8841342988808</v>
      </c>
      <c r="J9" s="27">
        <v>2990.616375344986</v>
      </c>
      <c r="K9" s="27">
        <v>897.61904761904771</v>
      </c>
      <c r="L9" s="27">
        <v>240</v>
      </c>
      <c r="M9" s="27">
        <v>12182.4</v>
      </c>
      <c r="N9" s="7" t="s">
        <v>406</v>
      </c>
    </row>
    <row r="10" spans="1:14">
      <c r="A10" s="26" t="s">
        <v>53</v>
      </c>
      <c r="B10" s="27">
        <v>45000</v>
      </c>
      <c r="C10" s="29">
        <v>4500</v>
      </c>
      <c r="D10" s="27">
        <v>5760</v>
      </c>
      <c r="E10" s="27">
        <v>1440</v>
      </c>
      <c r="F10" s="30">
        <v>10</v>
      </c>
      <c r="G10" s="28">
        <v>10</v>
      </c>
      <c r="H10" s="27">
        <v>8747.663551401869</v>
      </c>
      <c r="I10" s="27">
        <v>4043.7857864600878</v>
      </c>
      <c r="J10" s="27">
        <v>1819.1382204812535</v>
      </c>
      <c r="K10" s="27">
        <v>637.25490196078431</v>
      </c>
      <c r="L10" s="27">
        <v>140</v>
      </c>
      <c r="M10" s="27">
        <v>12182.4</v>
      </c>
      <c r="N10" s="7" t="s">
        <v>403</v>
      </c>
    </row>
    <row r="11" spans="1:14">
      <c r="A11" s="26" t="s">
        <v>56</v>
      </c>
      <c r="B11" s="27">
        <v>220000</v>
      </c>
      <c r="C11" s="29">
        <v>6500</v>
      </c>
      <c r="D11" s="27">
        <v>5760</v>
      </c>
      <c r="E11" s="27">
        <v>1440</v>
      </c>
      <c r="F11" s="30">
        <v>33.846153846153847</v>
      </c>
      <c r="G11" s="28">
        <v>67.692307692307693</v>
      </c>
      <c r="H11" s="27">
        <v>12518.518518518518</v>
      </c>
      <c r="I11" s="27">
        <v>5796.1229946524072</v>
      </c>
      <c r="J11" s="27">
        <v>2450.7306889352822</v>
      </c>
      <c r="K11" s="27">
        <v>897.61904761904771</v>
      </c>
      <c r="L11" s="27">
        <v>300</v>
      </c>
      <c r="M11" s="27">
        <v>12182.4</v>
      </c>
      <c r="N11" s="7" t="s">
        <v>404</v>
      </c>
    </row>
    <row r="12" spans="1:14">
      <c r="A12" s="26" t="s">
        <v>60</v>
      </c>
      <c r="B12" s="27">
        <v>80000</v>
      </c>
      <c r="C12" s="29">
        <v>3250</v>
      </c>
      <c r="D12" s="27">
        <v>5760</v>
      </c>
      <c r="E12" s="27">
        <v>1440</v>
      </c>
      <c r="F12" s="30">
        <v>24.615384615384617</v>
      </c>
      <c r="G12" s="28">
        <v>24.615384615384617</v>
      </c>
      <c r="H12" s="27">
        <v>4306.1443109648781</v>
      </c>
      <c r="I12" s="27">
        <v>1737.6449500676738</v>
      </c>
      <c r="J12" s="27">
        <v>1328.9225012185343</v>
      </c>
      <c r="K12" s="27">
        <v>253.44036697247708</v>
      </c>
      <c r="L12" s="27">
        <v>85</v>
      </c>
      <c r="M12" s="27">
        <v>7192.8</v>
      </c>
      <c r="N12" s="7" t="s">
        <v>405</v>
      </c>
    </row>
    <row r="13" spans="1:14">
      <c r="A13" s="26" t="s">
        <v>65</v>
      </c>
      <c r="B13" s="27">
        <v>315001</v>
      </c>
      <c r="C13" s="29">
        <v>2250</v>
      </c>
      <c r="D13" s="27">
        <v>1440</v>
      </c>
      <c r="E13" s="27">
        <v>720</v>
      </c>
      <c r="F13" s="30">
        <v>140.00044444444444</v>
      </c>
      <c r="G13" s="28">
        <v>280.00088888888888</v>
      </c>
      <c r="H13" s="27">
        <v>2340</v>
      </c>
      <c r="I13" s="27">
        <v>1305</v>
      </c>
      <c r="J13" s="27">
        <v>720</v>
      </c>
      <c r="K13" s="27">
        <v>380</v>
      </c>
      <c r="L13" s="27">
        <v>82.424242424242422</v>
      </c>
      <c r="M13" s="27">
        <v>12182.4</v>
      </c>
      <c r="N13" s="7" t="s">
        <v>407</v>
      </c>
    </row>
    <row r="14" spans="1:14">
      <c r="A14" s="46" t="s">
        <v>71</v>
      </c>
      <c r="B14" s="27">
        <v>252</v>
      </c>
      <c r="C14" s="29">
        <v>1625</v>
      </c>
      <c r="D14" s="27">
        <v>960</v>
      </c>
      <c r="E14" s="27">
        <v>480</v>
      </c>
      <c r="F14" s="30">
        <v>0.15507692307692308</v>
      </c>
      <c r="G14" s="28">
        <v>0.31015384615384617</v>
      </c>
      <c r="H14" s="27">
        <v>2405</v>
      </c>
      <c r="I14" s="27">
        <v>942.50000000000011</v>
      </c>
      <c r="J14" s="27">
        <v>487.5</v>
      </c>
      <c r="K14" s="27">
        <v>400</v>
      </c>
      <c r="L14" s="27">
        <v>80</v>
      </c>
      <c r="M14" s="27">
        <v>8121.6</v>
      </c>
      <c r="N14" s="7" t="s">
        <v>409</v>
      </c>
    </row>
    <row r="15" spans="1:14">
      <c r="A15" s="46" t="s">
        <v>71</v>
      </c>
      <c r="B15" s="27">
        <v>210511</v>
      </c>
      <c r="C15" s="29">
        <v>1625</v>
      </c>
      <c r="D15" s="27">
        <v>960</v>
      </c>
      <c r="E15" s="27">
        <v>480</v>
      </c>
      <c r="F15" s="30">
        <v>129.54523076923076</v>
      </c>
      <c r="G15" s="28">
        <v>259.09046153846151</v>
      </c>
      <c r="H15" s="27">
        <v>2405</v>
      </c>
      <c r="I15" s="27">
        <v>942.50000000000011</v>
      </c>
      <c r="J15" s="27">
        <v>487.5</v>
      </c>
      <c r="K15" s="27">
        <v>400</v>
      </c>
      <c r="L15" s="27">
        <v>80</v>
      </c>
      <c r="M15" s="27">
        <v>8121.6</v>
      </c>
      <c r="N15" s="7" t="s">
        <v>408</v>
      </c>
    </row>
    <row r="16" spans="1:14">
      <c r="A16" s="46" t="s">
        <v>71</v>
      </c>
      <c r="B16" s="27">
        <v>191462</v>
      </c>
      <c r="C16" s="29">
        <v>1625</v>
      </c>
      <c r="D16" s="27">
        <v>960</v>
      </c>
      <c r="E16" s="27">
        <v>480</v>
      </c>
      <c r="F16" s="30">
        <v>117.82276923076923</v>
      </c>
      <c r="G16" s="28">
        <v>235.64553846153845</v>
      </c>
      <c r="H16" s="27">
        <v>2405</v>
      </c>
      <c r="I16" s="27">
        <v>942.50000000000011</v>
      </c>
      <c r="J16" s="27">
        <v>487.5</v>
      </c>
      <c r="K16" s="27">
        <v>400</v>
      </c>
      <c r="L16" s="27">
        <v>80</v>
      </c>
      <c r="M16" s="27">
        <v>8121.6</v>
      </c>
    </row>
    <row r="17" spans="1:14">
      <c r="A17" s="26" t="s">
        <v>334</v>
      </c>
      <c r="B17" s="27">
        <v>30945</v>
      </c>
      <c r="C17" s="29">
        <v>30000</v>
      </c>
      <c r="D17" s="27">
        <v>6400</v>
      </c>
      <c r="E17" s="27">
        <v>1600</v>
      </c>
      <c r="F17" s="30">
        <v>1.0315000000000001</v>
      </c>
      <c r="G17" s="28">
        <v>5.1575000000000006</v>
      </c>
      <c r="H17" s="27">
        <v>55555.555555555555</v>
      </c>
      <c r="I17" s="27">
        <v>25555.555555555558</v>
      </c>
      <c r="J17" s="27">
        <v>5547.1698113207549</v>
      </c>
      <c r="K17" s="27">
        <v>944.18604651162798</v>
      </c>
      <c r="L17" s="27">
        <v>419.99999999999994</v>
      </c>
      <c r="M17" s="27">
        <v>13536</v>
      </c>
    </row>
    <row r="18" spans="1:14">
      <c r="A18" s="26" t="s">
        <v>335</v>
      </c>
      <c r="B18" s="27">
        <v>220645</v>
      </c>
      <c r="C18" s="29">
        <v>30000</v>
      </c>
      <c r="D18" s="27">
        <v>6400</v>
      </c>
      <c r="E18" s="27">
        <v>1600</v>
      </c>
      <c r="F18" s="30">
        <v>7.3548333333333336</v>
      </c>
      <c r="G18" s="28">
        <v>36.774166666666666</v>
      </c>
      <c r="H18" s="27">
        <v>55555.555555555555</v>
      </c>
      <c r="I18" s="27">
        <v>25555.555555555558</v>
      </c>
      <c r="J18" s="27">
        <v>5547.1698113207549</v>
      </c>
      <c r="K18" s="27">
        <v>944.18604651162798</v>
      </c>
      <c r="L18" s="27">
        <v>419.99999999999994</v>
      </c>
      <c r="M18" s="27">
        <v>13536</v>
      </c>
      <c r="N18" s="44" t="s">
        <v>413</v>
      </c>
    </row>
    <row r="19" spans="1:14">
      <c r="A19" s="26" t="s">
        <v>336</v>
      </c>
      <c r="B19" s="27">
        <v>301057</v>
      </c>
      <c r="C19" s="29">
        <v>30000</v>
      </c>
      <c r="D19" s="27">
        <v>6400</v>
      </c>
      <c r="E19" s="27">
        <v>1600</v>
      </c>
      <c r="F19" s="30">
        <v>10.0352333333333</v>
      </c>
      <c r="G19" s="28">
        <v>50.176166666666674</v>
      </c>
      <c r="H19" s="27">
        <v>55555.555555555555</v>
      </c>
      <c r="I19" s="27">
        <v>25555.555555555558</v>
      </c>
      <c r="J19" s="27">
        <v>5547.1698113207549</v>
      </c>
      <c r="K19" s="27">
        <v>944.18604651162798</v>
      </c>
      <c r="L19" s="27">
        <v>419.99999999999994</v>
      </c>
      <c r="M19" s="27">
        <v>13536</v>
      </c>
    </row>
    <row r="20" spans="1:14">
      <c r="A20" s="26" t="s">
        <v>337</v>
      </c>
      <c r="B20" s="27">
        <v>300941</v>
      </c>
      <c r="C20" s="29">
        <v>30000</v>
      </c>
      <c r="D20" s="27">
        <v>6400</v>
      </c>
      <c r="E20" s="27">
        <v>1600</v>
      </c>
      <c r="F20" s="30">
        <v>10.031366666666667</v>
      </c>
      <c r="G20" s="28">
        <v>50.156833333333338</v>
      </c>
      <c r="H20" s="27">
        <v>55555.555555555555</v>
      </c>
      <c r="I20" s="27">
        <v>25555.555555555558</v>
      </c>
      <c r="J20" s="27">
        <v>5547.1698113207549</v>
      </c>
      <c r="K20" s="27">
        <v>944.18604651162798</v>
      </c>
      <c r="L20" s="27">
        <v>419.99999999999994</v>
      </c>
      <c r="M20" s="27">
        <v>13536</v>
      </c>
      <c r="N20" s="7" t="s">
        <v>414</v>
      </c>
    </row>
    <row r="21" spans="1:14">
      <c r="A21" s="26" t="s">
        <v>338</v>
      </c>
      <c r="B21" s="27">
        <v>37752</v>
      </c>
      <c r="C21" s="29">
        <v>4250</v>
      </c>
      <c r="D21" s="27">
        <v>6400</v>
      </c>
      <c r="E21" s="27">
        <v>1600</v>
      </c>
      <c r="F21" s="30">
        <v>8.8828235294117643</v>
      </c>
      <c r="G21" s="28">
        <v>8.8828235294117643</v>
      </c>
      <c r="H21" s="27">
        <v>6175.0849574486629</v>
      </c>
      <c r="I21" s="27">
        <v>2433.1814730447986</v>
      </c>
      <c r="J21" s="27">
        <v>1767.1389356238378</v>
      </c>
      <c r="K21" s="27">
        <v>637.25490196078431</v>
      </c>
      <c r="L21" s="27">
        <v>190</v>
      </c>
      <c r="M21" s="27">
        <v>13536</v>
      </c>
    </row>
    <row r="22" spans="1:14">
      <c r="A22" s="26" t="s">
        <v>339</v>
      </c>
      <c r="B22" s="27">
        <v>35606</v>
      </c>
      <c r="C22" s="29">
        <v>4250</v>
      </c>
      <c r="D22" s="27">
        <v>6400</v>
      </c>
      <c r="E22" s="27">
        <v>1600</v>
      </c>
      <c r="F22" s="30">
        <v>8.3778823529411763</v>
      </c>
      <c r="G22" s="28">
        <v>8.3778823529411763</v>
      </c>
      <c r="H22" s="27">
        <v>6175.0849574486629</v>
      </c>
      <c r="I22" s="27">
        <v>2433.1814730447986</v>
      </c>
      <c r="J22" s="27">
        <v>1767.1389356238378</v>
      </c>
      <c r="K22" s="27">
        <v>637.25490196078431</v>
      </c>
      <c r="L22" s="27">
        <v>190</v>
      </c>
      <c r="M22" s="27">
        <v>13536</v>
      </c>
    </row>
    <row r="23" spans="1:14">
      <c r="A23" s="26" t="s">
        <v>100</v>
      </c>
      <c r="B23" s="27">
        <v>360928</v>
      </c>
      <c r="C23" s="29">
        <v>3000</v>
      </c>
      <c r="D23" s="27">
        <v>1600</v>
      </c>
      <c r="E23" s="27">
        <v>800</v>
      </c>
      <c r="F23" s="30">
        <v>120.30933333333333</v>
      </c>
      <c r="G23" s="28">
        <v>240.61866666666666</v>
      </c>
      <c r="H23" s="27">
        <v>3089.1089108910892</v>
      </c>
      <c r="I23" s="27">
        <v>1722.772277227723</v>
      </c>
      <c r="J23" s="27">
        <v>693.57798165137615</v>
      </c>
      <c r="K23" s="27">
        <v>243.75</v>
      </c>
      <c r="L23" s="27">
        <v>68.253968253968253</v>
      </c>
      <c r="M23" s="27">
        <v>13536</v>
      </c>
    </row>
    <row r="24" spans="1:14">
      <c r="A24" s="26" t="s">
        <v>340</v>
      </c>
      <c r="B24" s="27">
        <v>312360</v>
      </c>
      <c r="C24" s="29">
        <v>13250</v>
      </c>
      <c r="D24" s="27">
        <v>6400</v>
      </c>
      <c r="E24" s="27">
        <v>1600</v>
      </c>
      <c r="F24" s="30">
        <v>23.57433962264151</v>
      </c>
      <c r="G24" s="28">
        <v>70.723018867924537</v>
      </c>
      <c r="H24" s="27">
        <v>24813.925570228093</v>
      </c>
      <c r="I24" s="27">
        <v>11543.058034742478</v>
      </c>
      <c r="J24" s="27">
        <v>4140.76829901367</v>
      </c>
      <c r="K24" s="27">
        <v>897.61904761904771</v>
      </c>
      <c r="L24" s="27">
        <v>230</v>
      </c>
      <c r="M24" s="27">
        <v>13536</v>
      </c>
    </row>
    <row r="25" spans="1:14">
      <c r="A25" s="26" t="s">
        <v>341</v>
      </c>
      <c r="B25" s="27">
        <v>308200</v>
      </c>
      <c r="C25" s="29">
        <v>13250</v>
      </c>
      <c r="D25" s="27">
        <v>6400</v>
      </c>
      <c r="E25" s="27">
        <v>1600</v>
      </c>
      <c r="F25" s="30">
        <v>23.260377358490565</v>
      </c>
      <c r="G25" s="28">
        <v>69.781132075471703</v>
      </c>
      <c r="H25" s="27">
        <v>24813.925570228093</v>
      </c>
      <c r="I25" s="27">
        <v>11543.058034742478</v>
      </c>
      <c r="J25" s="27">
        <v>4140.76829901367</v>
      </c>
      <c r="K25" s="27">
        <v>897.61904761904771</v>
      </c>
      <c r="L25" s="27">
        <v>230</v>
      </c>
      <c r="M25" s="27">
        <v>13536</v>
      </c>
    </row>
    <row r="26" spans="1:14">
      <c r="A26" s="26" t="s">
        <v>342</v>
      </c>
      <c r="B26" s="27">
        <v>220000</v>
      </c>
      <c r="C26" s="29">
        <v>13250</v>
      </c>
      <c r="D26" s="27">
        <v>6400</v>
      </c>
      <c r="E26" s="27">
        <v>1600</v>
      </c>
      <c r="F26" s="30">
        <v>16.60377358490566</v>
      </c>
      <c r="G26" s="28">
        <v>49.811320754716981</v>
      </c>
      <c r="H26" s="27">
        <v>24573.388203017832</v>
      </c>
      <c r="I26" s="27">
        <v>11449.573969804174</v>
      </c>
      <c r="J26" s="27">
        <v>3903.9154169542571</v>
      </c>
      <c r="K26" s="27">
        <v>897.61904761904771</v>
      </c>
      <c r="L26" s="27">
        <v>360</v>
      </c>
      <c r="M26" s="27">
        <v>13536</v>
      </c>
    </row>
    <row r="27" spans="1:14">
      <c r="A27" s="26" t="s">
        <v>343</v>
      </c>
      <c r="B27" s="27">
        <v>20000</v>
      </c>
      <c r="C27" s="29">
        <v>13250</v>
      </c>
      <c r="D27" s="27">
        <v>6400</v>
      </c>
      <c r="E27" s="27">
        <v>1600</v>
      </c>
      <c r="F27" s="30">
        <v>1.5094339622641511</v>
      </c>
      <c r="G27" s="28">
        <v>4.5283018867924536</v>
      </c>
      <c r="H27" s="27">
        <v>24573.388203017832</v>
      </c>
      <c r="I27" s="27">
        <v>11449.573969804174</v>
      </c>
      <c r="J27" s="27">
        <v>3903.9154169542571</v>
      </c>
      <c r="K27" s="27">
        <v>897.61904761904771</v>
      </c>
      <c r="L27" s="27">
        <v>360</v>
      </c>
      <c r="M27" s="27">
        <v>13536</v>
      </c>
    </row>
    <row r="28" spans="1:14">
      <c r="A28" s="26" t="s">
        <v>344</v>
      </c>
      <c r="B28" s="27">
        <v>190064</v>
      </c>
      <c r="C28" s="29">
        <v>13250</v>
      </c>
      <c r="D28" s="27">
        <v>6400</v>
      </c>
      <c r="E28" s="27">
        <v>1600</v>
      </c>
      <c r="F28" s="30">
        <v>14.344452830188679</v>
      </c>
      <c r="G28" s="28">
        <v>43.033358490566037</v>
      </c>
      <c r="H28" s="27">
        <v>24813.925570228093</v>
      </c>
      <c r="I28" s="27">
        <v>11543.058034742478</v>
      </c>
      <c r="J28" s="27">
        <v>4140.76829901367</v>
      </c>
      <c r="K28" s="27">
        <v>897.61904761904771</v>
      </c>
      <c r="L28" s="27">
        <v>230</v>
      </c>
      <c r="M28" s="27">
        <v>13536</v>
      </c>
    </row>
    <row r="29" spans="1:14">
      <c r="A29" s="26" t="s">
        <v>345</v>
      </c>
      <c r="B29" s="27">
        <v>60000</v>
      </c>
      <c r="C29" s="29">
        <v>21000</v>
      </c>
      <c r="D29" s="27">
        <v>6400</v>
      </c>
      <c r="E29" s="27">
        <v>1600</v>
      </c>
      <c r="F29" s="30">
        <v>2.8571428571428572</v>
      </c>
      <c r="G29" s="28">
        <v>11.428571428571429</v>
      </c>
      <c r="H29" s="27">
        <v>39772.727272727272</v>
      </c>
      <c r="I29" s="27">
        <v>18295.454545454548</v>
      </c>
      <c r="J29" s="27">
        <v>4666.666666666667</v>
      </c>
      <c r="K29" s="27">
        <v>944.18604651162798</v>
      </c>
      <c r="L29" s="27">
        <v>360</v>
      </c>
      <c r="M29" s="27">
        <v>13536</v>
      </c>
    </row>
    <row r="30" spans="1:14">
      <c r="A30" s="26" t="s">
        <v>346</v>
      </c>
      <c r="B30" s="27">
        <v>120396</v>
      </c>
      <c r="C30" s="29">
        <v>21000</v>
      </c>
      <c r="D30" s="27">
        <v>6400</v>
      </c>
      <c r="E30" s="27">
        <v>1600</v>
      </c>
      <c r="F30" s="30">
        <v>5.7331428571428571</v>
      </c>
      <c r="G30" s="28">
        <v>22.932571428571428</v>
      </c>
      <c r="H30" s="27">
        <v>39772.727272727272</v>
      </c>
      <c r="I30" s="27">
        <v>18295.454545454548</v>
      </c>
      <c r="J30" s="27">
        <v>4666.666666666667</v>
      </c>
      <c r="K30" s="27">
        <v>944.18604651162798</v>
      </c>
      <c r="L30" s="27">
        <v>360</v>
      </c>
      <c r="M30" s="27">
        <v>13536</v>
      </c>
    </row>
    <row r="31" spans="1:14">
      <c r="A31" s="26" t="s">
        <v>120</v>
      </c>
      <c r="B31" s="27">
        <v>50810</v>
      </c>
      <c r="C31" s="29">
        <v>2125</v>
      </c>
      <c r="D31" s="27">
        <v>1600</v>
      </c>
      <c r="E31" s="27">
        <v>800</v>
      </c>
      <c r="F31" s="30">
        <v>23.910588235294117</v>
      </c>
      <c r="G31" s="28">
        <v>47.821176470588235</v>
      </c>
      <c r="H31" s="27">
        <v>2195.6438670233092</v>
      </c>
      <c r="I31" s="27">
        <v>1224.4936950706917</v>
      </c>
      <c r="J31" s="27">
        <v>543.48005786319482</v>
      </c>
      <c r="K31" s="27">
        <v>243.75</v>
      </c>
      <c r="L31" s="27">
        <v>114.8936170212766</v>
      </c>
      <c r="M31" s="27">
        <v>13536</v>
      </c>
    </row>
    <row r="32" spans="1:14">
      <c r="A32" s="26" t="s">
        <v>123</v>
      </c>
      <c r="B32" s="27">
        <v>31132</v>
      </c>
      <c r="C32" s="29">
        <v>2125</v>
      </c>
      <c r="D32" s="27">
        <v>1600</v>
      </c>
      <c r="E32" s="27">
        <v>800</v>
      </c>
      <c r="F32" s="30">
        <v>14.65035294117647</v>
      </c>
      <c r="G32" s="28">
        <v>29.30070588235294</v>
      </c>
      <c r="H32" s="27">
        <v>2195.6438670233092</v>
      </c>
      <c r="I32" s="27">
        <v>1224.4936950706917</v>
      </c>
      <c r="J32" s="27">
        <v>543.48005786319482</v>
      </c>
      <c r="K32" s="27">
        <v>243.75</v>
      </c>
      <c r="L32" s="27">
        <v>114.8936170212766</v>
      </c>
      <c r="M32" s="27">
        <v>13536</v>
      </c>
    </row>
    <row r="33" spans="1:13">
      <c r="A33" s="26" t="s">
        <v>125</v>
      </c>
      <c r="B33" s="27">
        <v>15000</v>
      </c>
      <c r="C33" s="29">
        <v>2125</v>
      </c>
      <c r="D33" s="27">
        <v>1600</v>
      </c>
      <c r="E33" s="27">
        <v>800</v>
      </c>
      <c r="F33" s="30">
        <v>7.0588235294117645</v>
      </c>
      <c r="G33" s="28">
        <v>14.117647058823529</v>
      </c>
      <c r="H33" s="27">
        <v>2195.6438670233092</v>
      </c>
      <c r="I33" s="27">
        <v>1224.4936950706917</v>
      </c>
      <c r="J33" s="27">
        <v>543.48005786319482</v>
      </c>
      <c r="K33" s="27">
        <v>243.75</v>
      </c>
      <c r="L33" s="27">
        <v>114.8936170212766</v>
      </c>
      <c r="M33" s="27">
        <v>13536</v>
      </c>
    </row>
    <row r="34" spans="1:13">
      <c r="A34" s="26" t="s">
        <v>347</v>
      </c>
      <c r="B34" s="27">
        <v>100000</v>
      </c>
      <c r="C34" s="29">
        <v>7500</v>
      </c>
      <c r="D34" s="27">
        <v>6400</v>
      </c>
      <c r="E34" s="27">
        <v>1600</v>
      </c>
      <c r="F34" s="30">
        <v>13.333333333333334</v>
      </c>
      <c r="G34" s="28">
        <v>26.666666666666668</v>
      </c>
      <c r="H34" s="27">
        <v>10461.936820300363</v>
      </c>
      <c r="I34" s="27">
        <v>4171.232876712329</v>
      </c>
      <c r="J34" s="27">
        <v>2075.294117647059</v>
      </c>
      <c r="K34" s="27">
        <v>637.25490196078431</v>
      </c>
      <c r="L34" s="27">
        <v>150</v>
      </c>
      <c r="M34" s="27">
        <v>13536</v>
      </c>
    </row>
    <row r="35" spans="1:13">
      <c r="A35" s="26" t="s">
        <v>348</v>
      </c>
      <c r="B35" s="27">
        <v>320000</v>
      </c>
      <c r="C35" s="29">
        <v>15500</v>
      </c>
      <c r="D35" s="27">
        <v>6400</v>
      </c>
      <c r="E35" s="27">
        <v>1600</v>
      </c>
      <c r="F35" s="30">
        <v>20.64516129032258</v>
      </c>
      <c r="G35" s="28">
        <v>61.935483870967744</v>
      </c>
      <c r="H35" s="27">
        <v>29588.839941262846</v>
      </c>
      <c r="I35" s="27">
        <v>13610.86637298091</v>
      </c>
      <c r="J35" s="27">
        <v>3687.5816993464055</v>
      </c>
      <c r="K35" s="27">
        <v>944.18604651162798</v>
      </c>
      <c r="L35" s="27">
        <v>360</v>
      </c>
      <c r="M35" s="27">
        <v>13536</v>
      </c>
    </row>
    <row r="36" spans="1:13">
      <c r="A36" s="26" t="s">
        <v>138</v>
      </c>
      <c r="B36" s="27">
        <v>3000</v>
      </c>
      <c r="C36" s="29">
        <v>1062.5</v>
      </c>
      <c r="D36" s="27">
        <v>800</v>
      </c>
      <c r="E36" s="27">
        <v>800</v>
      </c>
      <c r="F36" s="30">
        <v>2.8235294117647061</v>
      </c>
      <c r="G36" s="28">
        <v>5.6470588235294121</v>
      </c>
      <c r="H36" s="27">
        <v>1101.3992716120376</v>
      </c>
      <c r="I36" s="27">
        <v>550.88533608389196</v>
      </c>
      <c r="J36" s="27">
        <v>191.38830616965197</v>
      </c>
      <c r="K36" s="27">
        <v>51.219512195121951</v>
      </c>
      <c r="L36" s="27">
        <v>24</v>
      </c>
      <c r="M36" s="27">
        <v>10152</v>
      </c>
    </row>
    <row r="37" spans="1:13">
      <c r="A37" s="26" t="s">
        <v>349</v>
      </c>
      <c r="B37" s="27">
        <v>160000</v>
      </c>
      <c r="C37" s="29">
        <v>6000</v>
      </c>
      <c r="D37" s="27">
        <v>6400</v>
      </c>
      <c r="E37" s="27">
        <v>1600</v>
      </c>
      <c r="F37" s="30">
        <v>26.666666666666668</v>
      </c>
      <c r="G37" s="28">
        <v>26.666666666666668</v>
      </c>
      <c r="H37" s="27">
        <v>8634.2557965594624</v>
      </c>
      <c r="I37" s="27">
        <v>3411.7647058823527</v>
      </c>
      <c r="J37" s="27">
        <v>2262.2129436325677</v>
      </c>
      <c r="K37" s="27">
        <v>637.25490196078431</v>
      </c>
      <c r="L37" s="27">
        <v>130</v>
      </c>
      <c r="M37" s="27">
        <v>13536</v>
      </c>
    </row>
    <row r="38" spans="1:13">
      <c r="A38" s="26" t="s">
        <v>350</v>
      </c>
      <c r="B38" s="27">
        <v>70000</v>
      </c>
      <c r="C38" s="29">
        <v>6000</v>
      </c>
      <c r="D38" s="27">
        <v>6400</v>
      </c>
      <c r="E38" s="27">
        <v>1600</v>
      </c>
      <c r="F38" s="30">
        <v>11.666666666666666</v>
      </c>
      <c r="G38" s="28">
        <v>11.666666666666666</v>
      </c>
      <c r="H38" s="27">
        <v>8634.2557965594624</v>
      </c>
      <c r="I38" s="27">
        <v>3411.7647058823527</v>
      </c>
      <c r="J38" s="27">
        <v>2262.2129436325677</v>
      </c>
      <c r="K38" s="27">
        <v>637.25490196078431</v>
      </c>
      <c r="L38" s="27">
        <v>130</v>
      </c>
      <c r="M38" s="27">
        <v>13536</v>
      </c>
    </row>
    <row r="39" spans="1:13">
      <c r="A39" s="26" t="s">
        <v>351</v>
      </c>
      <c r="B39" s="27">
        <v>62000</v>
      </c>
      <c r="C39" s="29">
        <v>8500</v>
      </c>
      <c r="D39" s="27">
        <v>6400</v>
      </c>
      <c r="E39" s="27">
        <v>1600</v>
      </c>
      <c r="F39" s="30">
        <v>7.2941176470588234</v>
      </c>
      <c r="G39" s="28">
        <v>14.588235294117647</v>
      </c>
      <c r="H39" s="27">
        <v>16185.915492957747</v>
      </c>
      <c r="I39" s="27">
        <v>7508.5065199674009</v>
      </c>
      <c r="J39" s="27">
        <v>2959.5580602105888</v>
      </c>
      <c r="K39" s="27">
        <v>897.61904761904771</v>
      </c>
      <c r="L39" s="27">
        <v>270</v>
      </c>
      <c r="M39" s="27">
        <v>13536</v>
      </c>
    </row>
    <row r="40" spans="1:13">
      <c r="A40" s="26" t="s">
        <v>352</v>
      </c>
      <c r="B40" s="27">
        <v>20000</v>
      </c>
      <c r="C40" s="29">
        <v>21000</v>
      </c>
      <c r="D40" s="27">
        <v>7040</v>
      </c>
      <c r="E40" s="27">
        <v>1760</v>
      </c>
      <c r="F40" s="30">
        <v>0.95238095238095233</v>
      </c>
      <c r="G40" s="28">
        <v>2.8571428571428568</v>
      </c>
      <c r="H40" s="27">
        <v>39772.727272727272</v>
      </c>
      <c r="I40" s="27">
        <v>18295.454545454548</v>
      </c>
      <c r="J40" s="27">
        <v>4666.666666666667</v>
      </c>
      <c r="K40" s="27">
        <v>944.18604651162798</v>
      </c>
      <c r="L40" s="27">
        <v>370</v>
      </c>
      <c r="M40" s="27">
        <v>14889.6</v>
      </c>
    </row>
    <row r="41" spans="1:13">
      <c r="A41" s="26" t="s">
        <v>353</v>
      </c>
      <c r="B41" s="27">
        <v>35000</v>
      </c>
      <c r="C41" s="29">
        <v>12000</v>
      </c>
      <c r="D41" s="27">
        <v>3840</v>
      </c>
      <c r="E41" s="27">
        <v>960</v>
      </c>
      <c r="F41" s="30">
        <v>2.9166666666666665</v>
      </c>
      <c r="G41" s="28">
        <v>11.666666666666666</v>
      </c>
      <c r="H41" s="27">
        <v>23076.923076923078</v>
      </c>
      <c r="I41" s="27">
        <v>10615.384615384615</v>
      </c>
      <c r="J41" s="27">
        <v>3564.4736842105267</v>
      </c>
      <c r="K41" s="27">
        <v>944.18604651162798</v>
      </c>
      <c r="L41" s="27">
        <v>275</v>
      </c>
      <c r="M41" s="27">
        <v>8121.6</v>
      </c>
    </row>
    <row r="42" spans="1:13">
      <c r="A42" s="26" t="s">
        <v>161</v>
      </c>
      <c r="B42" s="27">
        <v>17000</v>
      </c>
      <c r="C42" s="29">
        <v>1687.5</v>
      </c>
      <c r="D42" s="27">
        <v>960</v>
      </c>
      <c r="E42" s="27">
        <v>480</v>
      </c>
      <c r="F42" s="30">
        <v>10.074074074074074</v>
      </c>
      <c r="G42" s="28">
        <v>20.148148148148149</v>
      </c>
      <c r="H42" s="27">
        <v>2497.5</v>
      </c>
      <c r="I42" s="27">
        <v>978.74999999999989</v>
      </c>
      <c r="J42" s="27">
        <v>540</v>
      </c>
      <c r="K42" s="27">
        <v>400</v>
      </c>
      <c r="L42" s="27">
        <v>80</v>
      </c>
      <c r="M42" s="27">
        <v>8121.6</v>
      </c>
    </row>
    <row r="43" spans="1:13">
      <c r="A43" s="26" t="s">
        <v>165</v>
      </c>
      <c r="B43" s="27">
        <v>12700</v>
      </c>
      <c r="C43" s="29">
        <v>843.75</v>
      </c>
      <c r="D43" s="27">
        <v>480</v>
      </c>
      <c r="E43" s="27">
        <v>480</v>
      </c>
      <c r="F43" s="30">
        <v>15.051851851851852</v>
      </c>
      <c r="G43" s="28">
        <v>30.103703703703705</v>
      </c>
      <c r="H43" s="27">
        <v>877.5</v>
      </c>
      <c r="I43" s="27">
        <v>489.37499999999994</v>
      </c>
      <c r="J43" s="27">
        <v>202.5</v>
      </c>
      <c r="K43" s="27">
        <v>80</v>
      </c>
      <c r="L43" s="27">
        <v>35</v>
      </c>
      <c r="M43" s="27">
        <v>8121.6</v>
      </c>
    </row>
    <row r="44" spans="1:13">
      <c r="A44" s="26" t="s">
        <v>354</v>
      </c>
      <c r="B44" s="27">
        <v>129392</v>
      </c>
      <c r="C44" s="29">
        <v>4250</v>
      </c>
      <c r="D44" s="27">
        <v>5280</v>
      </c>
      <c r="E44" s="27">
        <v>1320</v>
      </c>
      <c r="F44" s="30">
        <v>30.445176470588237</v>
      </c>
      <c r="G44" s="28">
        <v>30.445176470588237</v>
      </c>
      <c r="H44" s="27">
        <v>8390.2809415337888</v>
      </c>
      <c r="I44" s="27">
        <v>3859.5292331055434</v>
      </c>
      <c r="J44" s="27">
        <v>1767.1389356238378</v>
      </c>
      <c r="K44" s="27">
        <v>646.15384615384608</v>
      </c>
      <c r="L44" s="27">
        <v>200</v>
      </c>
      <c r="M44" s="27">
        <v>11167.2</v>
      </c>
    </row>
    <row r="45" spans="1:13">
      <c r="A45" s="26" t="s">
        <v>355</v>
      </c>
      <c r="B45" s="27">
        <v>50050</v>
      </c>
      <c r="C45" s="29">
        <v>3250</v>
      </c>
      <c r="D45" s="27">
        <v>3840</v>
      </c>
      <c r="E45" s="27">
        <v>960</v>
      </c>
      <c r="F45" s="30">
        <v>15.4</v>
      </c>
      <c r="G45" s="28">
        <v>15.4</v>
      </c>
      <c r="H45" s="27">
        <v>6444.1506939854589</v>
      </c>
      <c r="I45" s="27">
        <v>2964.3093192333113</v>
      </c>
      <c r="J45" s="27">
        <v>1446.0458240946045</v>
      </c>
      <c r="K45" s="27">
        <v>646.15384615384608</v>
      </c>
      <c r="L45" s="27">
        <v>190</v>
      </c>
      <c r="M45" s="27">
        <v>8121.6</v>
      </c>
    </row>
    <row r="46" spans="1:13">
      <c r="A46" s="26" t="s">
        <v>355</v>
      </c>
      <c r="B46" s="27">
        <v>19318</v>
      </c>
      <c r="C46" s="29">
        <v>3250</v>
      </c>
      <c r="D46" s="27">
        <v>3840</v>
      </c>
      <c r="E46" s="27">
        <v>960</v>
      </c>
      <c r="F46" s="30">
        <v>5.944</v>
      </c>
      <c r="G46" s="28">
        <v>5.944</v>
      </c>
      <c r="H46" s="27">
        <v>6444.1506939854589</v>
      </c>
      <c r="I46" s="27">
        <v>2964.3093192333113</v>
      </c>
      <c r="J46" s="27">
        <v>1446.0458240946045</v>
      </c>
      <c r="K46" s="27">
        <v>646.15384615384608</v>
      </c>
      <c r="L46" s="27">
        <v>190</v>
      </c>
      <c r="M46" s="27">
        <v>8121.6</v>
      </c>
    </row>
    <row r="47" spans="1:13">
      <c r="A47" s="26" t="s">
        <v>179</v>
      </c>
      <c r="B47" s="27">
        <v>5000</v>
      </c>
      <c r="C47" s="29">
        <v>1687.5</v>
      </c>
      <c r="D47" s="27">
        <v>960</v>
      </c>
      <c r="E47" s="27">
        <v>480</v>
      </c>
      <c r="F47" s="30">
        <v>2.9629629629629628</v>
      </c>
      <c r="G47" s="28">
        <v>5.9259259259259256</v>
      </c>
      <c r="H47" s="27">
        <v>3357.5664817294819</v>
      </c>
      <c r="I47" s="27">
        <v>1544.4805815955615</v>
      </c>
      <c r="J47" s="27">
        <v>794.70701802773112</v>
      </c>
      <c r="K47" s="27">
        <v>419.99999999999994</v>
      </c>
      <c r="L47" s="27">
        <v>60</v>
      </c>
      <c r="M47" s="27">
        <v>8121.6</v>
      </c>
    </row>
    <row r="48" spans="1:13">
      <c r="A48" s="26" t="s">
        <v>356</v>
      </c>
      <c r="B48" s="27">
        <v>3003</v>
      </c>
      <c r="C48" s="29">
        <v>15000</v>
      </c>
      <c r="D48" s="27">
        <v>5280</v>
      </c>
      <c r="E48" s="27">
        <v>1320</v>
      </c>
      <c r="F48" s="30">
        <v>0.20019999999999999</v>
      </c>
      <c r="G48" s="28">
        <v>0.60060000000000002</v>
      </c>
      <c r="H48" s="27">
        <v>28846.153846153844</v>
      </c>
      <c r="I48" s="27">
        <v>13269.23076923077</v>
      </c>
      <c r="J48" s="27">
        <v>4313.1313131313136</v>
      </c>
      <c r="K48" s="27">
        <v>884.21052631578948</v>
      </c>
      <c r="L48" s="27">
        <v>280</v>
      </c>
      <c r="M48" s="27">
        <v>11167.2</v>
      </c>
    </row>
    <row r="49" spans="1:13">
      <c r="A49" s="26" t="s">
        <v>357</v>
      </c>
      <c r="B49" s="27">
        <v>30104</v>
      </c>
      <c r="C49" s="29">
        <v>21000</v>
      </c>
      <c r="D49" s="27">
        <v>5280</v>
      </c>
      <c r="E49" s="27">
        <v>1320</v>
      </c>
      <c r="F49" s="30">
        <v>1.4335238095238094</v>
      </c>
      <c r="G49" s="28">
        <v>5.7340952380952377</v>
      </c>
      <c r="H49" s="27">
        <v>39772.727272727272</v>
      </c>
      <c r="I49" s="27">
        <v>18295.454545454548</v>
      </c>
      <c r="J49" s="27">
        <v>4666.666666666667</v>
      </c>
      <c r="K49" s="27">
        <v>884.21052631578948</v>
      </c>
      <c r="L49" s="27">
        <v>350</v>
      </c>
      <c r="M49" s="27">
        <v>11167.2</v>
      </c>
    </row>
    <row r="50" spans="1:13">
      <c r="A50" s="26" t="s">
        <v>192</v>
      </c>
      <c r="B50" s="27">
        <v>4365</v>
      </c>
      <c r="C50" s="29">
        <v>1125</v>
      </c>
      <c r="D50" s="27">
        <v>480</v>
      </c>
      <c r="E50" s="27">
        <v>480</v>
      </c>
      <c r="F50" s="30">
        <v>3.88</v>
      </c>
      <c r="G50" s="28">
        <v>11.64</v>
      </c>
      <c r="H50" s="27">
        <v>1167.7229402664805</v>
      </c>
      <c r="I50" s="27">
        <v>650.96104318594621</v>
      </c>
      <c r="J50" s="27">
        <v>248.89967076763125</v>
      </c>
      <c r="K50" s="27">
        <v>75.675675675675677</v>
      </c>
      <c r="L50" s="27">
        <v>55</v>
      </c>
      <c r="M50" s="27">
        <v>8121.6</v>
      </c>
    </row>
    <row r="51" spans="1:13">
      <c r="A51" s="26" t="s">
        <v>197</v>
      </c>
      <c r="B51" s="27">
        <v>55000</v>
      </c>
      <c r="C51" s="29">
        <v>1625</v>
      </c>
      <c r="D51" s="27">
        <v>960</v>
      </c>
      <c r="E51" s="27">
        <v>480</v>
      </c>
      <c r="F51" s="30">
        <v>33.846153846153847</v>
      </c>
      <c r="G51" s="28">
        <v>67.692307692307693</v>
      </c>
      <c r="H51" s="27">
        <v>3235.9774311317624</v>
      </c>
      <c r="I51" s="27">
        <v>1488.5496183206108</v>
      </c>
      <c r="J51" s="27">
        <v>776.49159941791243</v>
      </c>
      <c r="K51" s="27">
        <v>419.99999999999994</v>
      </c>
      <c r="L51" s="27">
        <v>110</v>
      </c>
      <c r="M51" s="27">
        <v>8121.6</v>
      </c>
    </row>
    <row r="52" spans="1:13">
      <c r="A52" s="26" t="s">
        <v>200</v>
      </c>
      <c r="B52" s="27">
        <v>3000</v>
      </c>
      <c r="C52" s="29">
        <v>843.75</v>
      </c>
      <c r="D52" s="27">
        <v>480</v>
      </c>
      <c r="E52" s="27">
        <v>480</v>
      </c>
      <c r="F52" s="30">
        <v>3.5555555555555554</v>
      </c>
      <c r="G52" s="28">
        <v>7.1111111111111107</v>
      </c>
      <c r="H52" s="27">
        <v>876.31697208768173</v>
      </c>
      <c r="I52" s="27">
        <v>488.5753459534248</v>
      </c>
      <c r="J52" s="27">
        <v>198.09191077667296</v>
      </c>
      <c r="K52" s="27">
        <v>75.675675675675677</v>
      </c>
      <c r="L52" s="27">
        <v>60</v>
      </c>
      <c r="M52" s="27">
        <v>8121.6</v>
      </c>
    </row>
    <row r="53" spans="1:13">
      <c r="A53" s="26" t="s">
        <v>358</v>
      </c>
      <c r="B53" s="27">
        <v>496355</v>
      </c>
      <c r="C53" s="29">
        <v>12000</v>
      </c>
      <c r="D53" s="27">
        <v>5280</v>
      </c>
      <c r="E53" s="27">
        <v>1320</v>
      </c>
      <c r="F53" s="30">
        <v>41.362916666666663</v>
      </c>
      <c r="G53" s="28">
        <v>124.08874999999999</v>
      </c>
      <c r="H53" s="27">
        <v>23255.81395348837</v>
      </c>
      <c r="I53" s="27">
        <v>10697.674418604651</v>
      </c>
      <c r="J53" s="27">
        <v>3895.0395398993528</v>
      </c>
      <c r="K53" s="27">
        <v>884.21052631578948</v>
      </c>
      <c r="L53" s="27">
        <v>300</v>
      </c>
      <c r="M53" s="27">
        <v>11167.2</v>
      </c>
    </row>
    <row r="54" spans="1:13">
      <c r="A54" s="26" t="s">
        <v>358</v>
      </c>
      <c r="B54" s="27">
        <v>4630</v>
      </c>
      <c r="C54" s="29">
        <v>12000</v>
      </c>
      <c r="D54" s="27">
        <v>5280</v>
      </c>
      <c r="E54" s="27">
        <v>1320</v>
      </c>
      <c r="F54" s="30">
        <v>0.38583333333333331</v>
      </c>
      <c r="G54" s="28">
        <v>1.1575</v>
      </c>
      <c r="H54" s="27">
        <v>23255.81395348837</v>
      </c>
      <c r="I54" s="27">
        <v>10697.674418604651</v>
      </c>
      <c r="J54" s="27">
        <v>3895.0395398993528</v>
      </c>
      <c r="K54" s="27">
        <v>884.21052631578948</v>
      </c>
      <c r="L54" s="27">
        <v>300</v>
      </c>
      <c r="M54" s="27">
        <v>11167.2</v>
      </c>
    </row>
    <row r="55" spans="1:13">
      <c r="A55" s="26" t="s">
        <v>359</v>
      </c>
      <c r="B55" s="27">
        <v>25531</v>
      </c>
      <c r="C55" s="29">
        <v>7500</v>
      </c>
      <c r="D55" s="27">
        <v>3840</v>
      </c>
      <c r="E55" s="27">
        <v>960</v>
      </c>
      <c r="F55" s="30">
        <v>3.4041333333333332</v>
      </c>
      <c r="G55" s="28">
        <v>6.8082666666666665</v>
      </c>
      <c r="H55" s="27">
        <v>14634.146341463415</v>
      </c>
      <c r="I55" s="27">
        <v>6731.7073170731701</v>
      </c>
      <c r="J55" s="27">
        <v>2549.2537313432836</v>
      </c>
      <c r="K55" s="27">
        <v>646.15384615384608</v>
      </c>
      <c r="L55" s="27">
        <v>175</v>
      </c>
      <c r="M55" s="27">
        <v>8121.6</v>
      </c>
    </row>
    <row r="56" spans="1:13">
      <c r="A56" s="26" t="s">
        <v>360</v>
      </c>
      <c r="B56" s="27">
        <v>169721</v>
      </c>
      <c r="C56" s="29">
        <v>13900</v>
      </c>
      <c r="D56" s="27">
        <v>5280</v>
      </c>
      <c r="E56" s="27">
        <v>1320</v>
      </c>
      <c r="F56" s="30">
        <v>12.210143884892087</v>
      </c>
      <c r="G56" s="28">
        <v>36.630431654676258</v>
      </c>
      <c r="H56" s="27">
        <v>26659.781646503394</v>
      </c>
      <c r="I56" s="27">
        <v>12263.49955739156</v>
      </c>
      <c r="J56" s="27">
        <v>3556.419868791003</v>
      </c>
      <c r="K56" s="27">
        <v>884.21052631578948</v>
      </c>
      <c r="L56" s="27">
        <v>330</v>
      </c>
      <c r="M56" s="27">
        <v>11167.2</v>
      </c>
    </row>
    <row r="57" spans="1:13">
      <c r="A57" s="26" t="s">
        <v>361</v>
      </c>
      <c r="B57" s="27">
        <v>431706</v>
      </c>
      <c r="C57" s="29">
        <v>15500</v>
      </c>
      <c r="D57" s="27">
        <v>5280</v>
      </c>
      <c r="E57" s="27">
        <v>1320</v>
      </c>
      <c r="F57" s="30">
        <v>27.852</v>
      </c>
      <c r="G57" s="28">
        <v>83.555999999999997</v>
      </c>
      <c r="H57" s="27">
        <v>29588.839941262846</v>
      </c>
      <c r="I57" s="27">
        <v>13610.86637298091</v>
      </c>
      <c r="J57" s="27">
        <v>3687.5816993464055</v>
      </c>
      <c r="K57" s="27">
        <v>884.21052631578948</v>
      </c>
      <c r="L57" s="27">
        <v>330</v>
      </c>
      <c r="M57" s="27">
        <v>11167.2</v>
      </c>
    </row>
    <row r="58" spans="1:13">
      <c r="A58" s="26" t="s">
        <v>215</v>
      </c>
      <c r="B58" s="27">
        <v>3000</v>
      </c>
      <c r="C58" s="29">
        <v>843.75</v>
      </c>
      <c r="D58" s="27">
        <v>480</v>
      </c>
      <c r="E58" s="27">
        <v>480</v>
      </c>
      <c r="F58" s="30">
        <v>3.5555555555555554</v>
      </c>
      <c r="G58" s="28">
        <v>7.1111111111111107</v>
      </c>
      <c r="H58" s="27">
        <v>876.31697208768173</v>
      </c>
      <c r="I58" s="27">
        <v>488.5753459534248</v>
      </c>
      <c r="J58" s="27">
        <v>198.09191077667296</v>
      </c>
      <c r="K58" s="27">
        <v>75.675675675675677</v>
      </c>
      <c r="L58" s="27">
        <v>60</v>
      </c>
      <c r="M58" s="27">
        <v>8121.6</v>
      </c>
    </row>
    <row r="59" spans="1:13">
      <c r="A59" s="26" t="s">
        <v>362</v>
      </c>
      <c r="B59" s="27">
        <v>74019</v>
      </c>
      <c r="C59" s="29">
        <v>4500</v>
      </c>
      <c r="D59" s="27">
        <v>3840</v>
      </c>
      <c r="E59" s="27">
        <v>960</v>
      </c>
      <c r="F59" s="30">
        <v>16.448666666666668</v>
      </c>
      <c r="G59" s="28">
        <v>32.897333333333336</v>
      </c>
      <c r="H59" s="27">
        <v>8866.995073891625</v>
      </c>
      <c r="I59" s="27">
        <v>4078.8177339901481</v>
      </c>
      <c r="J59" s="27">
        <v>1819.1382204812535</v>
      </c>
      <c r="K59" s="27">
        <v>646.15384615384608</v>
      </c>
      <c r="L59" s="27">
        <v>160</v>
      </c>
      <c r="M59" s="27">
        <v>8121.6</v>
      </c>
    </row>
    <row r="60" spans="1:13">
      <c r="A60" s="26" t="s">
        <v>363</v>
      </c>
      <c r="B60" s="27">
        <v>200300</v>
      </c>
      <c r="C60" s="29">
        <v>8500</v>
      </c>
      <c r="D60" s="27">
        <v>5280</v>
      </c>
      <c r="E60" s="27">
        <v>1320</v>
      </c>
      <c r="F60" s="30">
        <v>23.564705882352943</v>
      </c>
      <c r="G60" s="28">
        <v>47.129411764705885</v>
      </c>
      <c r="H60" s="27">
        <v>16566.716641679159</v>
      </c>
      <c r="I60" s="27">
        <v>7620.6896551724139</v>
      </c>
      <c r="J60" s="27">
        <v>2959.5580602105888</v>
      </c>
      <c r="K60" s="27">
        <v>884.21052631578948</v>
      </c>
      <c r="L60" s="27">
        <v>340</v>
      </c>
      <c r="M60" s="27">
        <v>11167.2</v>
      </c>
    </row>
    <row r="61" spans="1:13">
      <c r="A61" s="26" t="s">
        <v>222</v>
      </c>
      <c r="B61" s="27">
        <v>40312</v>
      </c>
      <c r="C61" s="29">
        <v>3375</v>
      </c>
      <c r="D61" s="27">
        <v>3840</v>
      </c>
      <c r="E61" s="27">
        <v>960</v>
      </c>
      <c r="F61" s="30">
        <v>11.944296296296296</v>
      </c>
      <c r="G61" s="28">
        <v>11.944296296296296</v>
      </c>
      <c r="H61" s="27">
        <v>6680.6242862580893</v>
      </c>
      <c r="I61" s="27">
        <v>3073.087171678721</v>
      </c>
      <c r="J61" s="27">
        <v>1461.7580593091361</v>
      </c>
      <c r="K61" s="27">
        <v>646.15384615384608</v>
      </c>
      <c r="L61" s="27">
        <v>180</v>
      </c>
      <c r="M61" s="27">
        <v>8121.6</v>
      </c>
    </row>
    <row r="62" spans="1:13">
      <c r="A62" s="26" t="s">
        <v>225</v>
      </c>
      <c r="B62" s="27">
        <v>7000</v>
      </c>
      <c r="C62" s="29">
        <v>2250</v>
      </c>
      <c r="D62" s="27">
        <v>960</v>
      </c>
      <c r="E62" s="27">
        <v>480</v>
      </c>
      <c r="F62" s="30">
        <v>3.1111111111111112</v>
      </c>
      <c r="G62" s="28">
        <v>9.3333333333333339</v>
      </c>
      <c r="H62" s="27">
        <v>3330</v>
      </c>
      <c r="I62" s="27">
        <v>1305</v>
      </c>
      <c r="J62" s="27">
        <v>720</v>
      </c>
      <c r="K62" s="27">
        <v>400</v>
      </c>
      <c r="L62" s="27">
        <v>160</v>
      </c>
      <c r="M62" s="27">
        <v>8121.6</v>
      </c>
    </row>
  </sheetData>
  <mergeCells count="8">
    <mergeCell ref="H1:M1"/>
    <mergeCell ref="A1:A2"/>
    <mergeCell ref="B1:B2"/>
    <mergeCell ref="C1:C2"/>
    <mergeCell ref="D1:D2"/>
    <mergeCell ref="E1:E2"/>
    <mergeCell ref="F1:F2"/>
    <mergeCell ref="G1:G2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65"/>
  <sheetViews>
    <sheetView workbookViewId="0">
      <pane ySplit="1" topLeftCell="A17" activePane="bottomLeft" state="frozen"/>
      <selection pane="bottomLeft" activeCell="C6" sqref="C6"/>
    </sheetView>
  </sheetViews>
  <sheetFormatPr defaultColWidth="9.125" defaultRowHeight="15"/>
  <cols>
    <col min="1" max="1" width="11.125" style="7" customWidth="1"/>
    <col min="2" max="2" width="2.375" style="7" bestFit="1" customWidth="1"/>
    <col min="3" max="3" width="17.375" style="7" customWidth="1"/>
    <col min="4" max="6" width="11.125" style="7" customWidth="1"/>
    <col min="7" max="7" width="14.375" style="7" bestFit="1" customWidth="1"/>
    <col min="8" max="8" width="15.625" style="7" bestFit="1" customWidth="1"/>
    <col min="9" max="9" width="10.5" style="7" customWidth="1"/>
    <col min="10" max="10" width="13.875" style="7" customWidth="1"/>
    <col min="11" max="11" width="11.125" style="7" customWidth="1"/>
    <col min="12" max="12" width="6" style="7" customWidth="1"/>
    <col min="13" max="14" width="16.625" style="7" customWidth="1"/>
    <col min="15" max="15" width="17.25" style="7" customWidth="1"/>
    <col min="16" max="16" width="22" style="7" customWidth="1"/>
    <col min="17" max="17" width="17.75" style="7" customWidth="1"/>
    <col min="18" max="18" width="15.375" style="7" customWidth="1"/>
    <col min="19" max="19" width="15.875" style="7" customWidth="1"/>
    <col min="20" max="20" width="6.125" style="7" bestFit="1" customWidth="1"/>
    <col min="21" max="21" width="13.625" style="7" bestFit="1" customWidth="1"/>
    <col min="22" max="22" width="12.125" style="7" bestFit="1" customWidth="1"/>
    <col min="23" max="23" width="11.125" style="7" bestFit="1" customWidth="1"/>
    <col min="24" max="24" width="9.375" style="7" bestFit="1" customWidth="1"/>
    <col min="25" max="25" width="11" style="7" bestFit="1" customWidth="1"/>
    <col min="26" max="26" width="7.75" style="7" bestFit="1" customWidth="1"/>
    <col min="27" max="28" width="9.125" style="7"/>
    <col min="29" max="29" width="9.125" style="25"/>
    <col min="30" max="30" width="14.375" style="7" bestFit="1" customWidth="1"/>
    <col min="31" max="31" width="9.125" style="12"/>
    <col min="32" max="32" width="9.125" style="7"/>
    <col min="33" max="33" width="13.625" style="7" bestFit="1" customWidth="1"/>
    <col min="34" max="34" width="11.875" style="7" bestFit="1" customWidth="1"/>
    <col min="35" max="35" width="17.625" style="7" bestFit="1" customWidth="1"/>
    <col min="36" max="36" width="15.625" style="7" bestFit="1" customWidth="1"/>
    <col min="37" max="37" width="9.125" style="12"/>
    <col min="38" max="16384" width="9.125" style="7"/>
  </cols>
  <sheetData>
    <row r="1" spans="1:37">
      <c r="A1" s="7" t="s">
        <v>6</v>
      </c>
      <c r="C1" s="7" t="s">
        <v>265</v>
      </c>
      <c r="D1" s="4" t="s">
        <v>237</v>
      </c>
      <c r="E1" s="4" t="s">
        <v>241</v>
      </c>
      <c r="F1" s="4" t="s">
        <v>238</v>
      </c>
      <c r="G1" s="5" t="s">
        <v>242</v>
      </c>
      <c r="H1" s="5" t="s">
        <v>239</v>
      </c>
      <c r="I1" s="6" t="s">
        <v>240</v>
      </c>
      <c r="J1" s="6"/>
      <c r="K1" s="6"/>
      <c r="L1" s="7" t="s">
        <v>7</v>
      </c>
      <c r="M1" s="7" t="s">
        <v>8</v>
      </c>
      <c r="N1" s="7" t="s">
        <v>273</v>
      </c>
      <c r="O1" s="7" t="s">
        <v>9</v>
      </c>
      <c r="P1" s="7" t="s">
        <v>10</v>
      </c>
      <c r="Q1" s="7" t="s">
        <v>11</v>
      </c>
      <c r="R1" s="7" t="s">
        <v>12</v>
      </c>
      <c r="S1" s="7" t="s">
        <v>13</v>
      </c>
      <c r="T1" s="7" t="s">
        <v>14</v>
      </c>
      <c r="U1" s="8" t="s">
        <v>15</v>
      </c>
      <c r="V1" s="8" t="s">
        <v>16</v>
      </c>
      <c r="W1" s="14" t="str">
        <f t="array" ref="W1:AB1">TRANSPOSE('MC qty'!B2:B7)</f>
        <v>Taping</v>
      </c>
      <c r="X1" s="15" t="str">
        <v>B/G</v>
      </c>
      <c r="Y1" s="14" t="str">
        <v>D/S</v>
      </c>
      <c r="Z1" s="14" t="str">
        <v>DA</v>
      </c>
      <c r="AA1" s="16" t="str">
        <v>WB</v>
      </c>
      <c r="AB1" s="16" t="str">
        <v>MOLD</v>
      </c>
      <c r="AC1" s="25" t="s">
        <v>293</v>
      </c>
      <c r="AD1" s="19" t="s">
        <v>304</v>
      </c>
      <c r="AE1" s="12" t="s">
        <v>295</v>
      </c>
      <c r="AF1" s="7" t="s">
        <v>296</v>
      </c>
      <c r="AG1" s="7" t="s">
        <v>297</v>
      </c>
      <c r="AH1" s="7" t="s">
        <v>298</v>
      </c>
      <c r="AI1" s="19" t="s">
        <v>306</v>
      </c>
      <c r="AJ1" s="19" t="s">
        <v>305</v>
      </c>
      <c r="AK1" s="12" t="s">
        <v>299</v>
      </c>
    </row>
    <row r="2" spans="1:37">
      <c r="A2" s="7" t="s">
        <v>17</v>
      </c>
      <c r="B2" s="7">
        <f>COUNTIF('[1]Raw data'!$A$3:$A$211,C2)</f>
        <v>1</v>
      </c>
      <c r="C2" s="7" t="str">
        <f>D2&amp;"_"&amp;E2&amp;"_"&amp;F2&amp;"_"&amp;G2&amp;"_"&amp;H2</f>
        <v>GAMING_15X10_1_P3016KED32B3_PHNXX2MH3P06A</v>
      </c>
      <c r="D2" s="7" t="s">
        <v>17</v>
      </c>
      <c r="E2" s="7" t="s">
        <v>249</v>
      </c>
      <c r="F2" s="7">
        <f>T2</f>
        <v>1</v>
      </c>
      <c r="G2" s="7" t="s">
        <v>274</v>
      </c>
      <c r="H2" s="7" t="s">
        <v>275</v>
      </c>
      <c r="J2" s="7" t="str">
        <f>VLOOKUP(M2,[2]Plan_82!$C$5:$L$420,9,0)</f>
        <v>32nm 16Gb EX3</v>
      </c>
      <c r="K2" s="7" t="str">
        <f>VLOOKUP(M2,[2]Plan_82!$C$5:$H$420,5,0)</f>
        <v>20-81-00303</v>
      </c>
      <c r="L2" s="7" t="s">
        <v>18</v>
      </c>
      <c r="M2" s="7" t="s">
        <v>19</v>
      </c>
      <c r="N2" s="7" t="str">
        <f>"54-82"&amp;MID(M2,6,20)</f>
        <v>54-82-07010-002G</v>
      </c>
      <c r="O2" s="7" t="s">
        <v>247</v>
      </c>
      <c r="P2" s="7" t="s">
        <v>20</v>
      </c>
      <c r="Q2" s="7" t="s">
        <v>21</v>
      </c>
      <c r="R2" s="7" t="s">
        <v>22</v>
      </c>
      <c r="S2" s="7" t="s">
        <v>23</v>
      </c>
      <c r="T2" s="7">
        <v>1</v>
      </c>
      <c r="U2" s="9">
        <f>500000-80000</f>
        <v>420000</v>
      </c>
      <c r="V2" s="7">
        <f>U2*T2</f>
        <v>420000</v>
      </c>
      <c r="W2" s="13">
        <f>LOOKUP(2,1/([1]UPH!$A$3:$A$211=C2),[1]UPH!$CJ$3:$CJ$211)</f>
        <v>37193.460490463214</v>
      </c>
      <c r="X2" s="13">
        <f>LOOKUP(2,1/([1]UPH!$A$3:$A$211=C2),[1]UPH!$CK$3:$CK$211)</f>
        <v>17108.99182561308</v>
      </c>
      <c r="Y2" s="13">
        <f>LOOKUP(2,1/([1]UPH!$A$3:$A$211=C2),[1]UPH!$CL$3:$CL$211)</f>
        <v>2951.3513513513512</v>
      </c>
      <c r="Z2" s="13">
        <f>LOOKUP(2,1/([1]UPH!$A$3:$A$211=C2),[1]UPH!$CM$3:$CM$211)</f>
        <v>563.88888888888891</v>
      </c>
      <c r="AA2" s="13">
        <f>LOOKUP(2,1/([1]UPH!$A$3:$A$211=C2),[1]UPH!$CN$3:$CN$211)</f>
        <v>320</v>
      </c>
      <c r="AB2" s="13">
        <f>LOOKUP(2,1/([1]UPH!$A$3:$A$211=C2),[1]UPH!$CO$3:$CO$211)</f>
        <v>14889.6</v>
      </c>
      <c r="AC2" s="25">
        <f>VLOOKUP(G2,[1]Tech!$B$2:$E$22,4,0)</f>
        <v>840</v>
      </c>
      <c r="AD2" s="23">
        <f>AC2*25/T2</f>
        <v>21000</v>
      </c>
      <c r="AE2" s="24">
        <f>U2/AD2</f>
        <v>20</v>
      </c>
      <c r="AF2" s="7">
        <f>VLOOKUP(E2,'[1]Lot size'!$C$2:$E$20,3,0)</f>
        <v>88</v>
      </c>
      <c r="AG2" s="7">
        <f>IF(T2&lt;4,20,10)</f>
        <v>20</v>
      </c>
      <c r="AH2" s="7">
        <f>IF(T2&lt;4,4,IF(T2=4,2,1))</f>
        <v>4</v>
      </c>
      <c r="AI2" s="7">
        <f>AF2*AG2</f>
        <v>1760</v>
      </c>
      <c r="AJ2" s="7">
        <f>AF2*AG2*AH2</f>
        <v>7040</v>
      </c>
      <c r="AK2" s="12">
        <f>ROUNDUP(AD2/AJ2,0)*AE2</f>
        <v>60</v>
      </c>
    </row>
    <row r="3" spans="1:37">
      <c r="A3" s="7" t="s">
        <v>24</v>
      </c>
      <c r="B3" s="7">
        <f>COUNTIF('[1]Raw data'!$A$3:$A$211,C3)</f>
        <v>1</v>
      </c>
      <c r="C3" s="7" t="str">
        <f t="shared" ref="C3:C61" si="0">D3&amp;"_"&amp;E3&amp;"_"&amp;F3&amp;"_"&amp;G3&amp;"_"&amp;H3</f>
        <v>INAND_11.5X13_1_P3016KED32B3_PHNXX2UX3P09B</v>
      </c>
      <c r="D3" s="7" t="s">
        <v>243</v>
      </c>
      <c r="E3" s="7" t="s">
        <v>250</v>
      </c>
      <c r="F3" s="7">
        <f t="shared" ref="F3:F61" si="1">T3</f>
        <v>1</v>
      </c>
      <c r="G3" s="7" t="s">
        <v>274</v>
      </c>
      <c r="H3" s="7" t="s">
        <v>276</v>
      </c>
      <c r="J3" s="7" t="str">
        <f>VLOOKUP(M3,[2]Plan_82!$C$5:$L$420,9,0)</f>
        <v>32nm 16Gb EX3</v>
      </c>
      <c r="K3" s="7" t="str">
        <f>VLOOKUP(M3,[2]Plan_82!$C$5:$H$420,5,0)</f>
        <v>20-81-00251</v>
      </c>
      <c r="L3" s="7" t="s">
        <v>18</v>
      </c>
      <c r="M3" s="7" t="s">
        <v>29</v>
      </c>
      <c r="N3" s="7" t="str">
        <f t="shared" ref="N3:N60" si="2">"54-82"&amp;MID(M3,6,20)</f>
        <v>54-82-06175-002G</v>
      </c>
      <c r="O3" s="7" t="s">
        <v>30</v>
      </c>
      <c r="P3" s="7" t="s">
        <v>31</v>
      </c>
      <c r="Q3" s="7" t="s">
        <v>21</v>
      </c>
      <c r="R3" s="7" t="s">
        <v>28</v>
      </c>
      <c r="S3" s="7" t="s">
        <v>32</v>
      </c>
      <c r="T3" s="7">
        <v>1</v>
      </c>
      <c r="U3" s="9">
        <v>100000</v>
      </c>
      <c r="V3" s="7">
        <f t="shared" ref="V3:V61" si="3">U3*T3</f>
        <v>100000</v>
      </c>
      <c r="W3" s="13">
        <f>LOOKUP(2,1/([1]UPH!$A$3:$A$211=C3),[1]UPH!$CJ$3:$CJ$211)</f>
        <v>39252.336448598129</v>
      </c>
      <c r="X3" s="13">
        <f>LOOKUP(2,1/([1]UPH!$A$3:$A$211=C3),[1]UPH!$CK$3:$CK$211)</f>
        <v>18056.074766355141</v>
      </c>
      <c r="Y3" s="13">
        <f>LOOKUP(2,1/([1]UPH!$A$3:$A$211=C3),[1]UPH!$CL$3:$CL$211)</f>
        <v>4200</v>
      </c>
      <c r="Z3" s="13">
        <f>LOOKUP(2,1/([1]UPH!$A$3:$A$211=C3),[1]UPH!$CM$3:$CM$211)</f>
        <v>944.18604651162798</v>
      </c>
      <c r="AA3" s="13">
        <f>LOOKUP(2,1/([1]UPH!$A$3:$A$211=C3),[1]UPH!$CN$3:$CN$211)</f>
        <v>315</v>
      </c>
      <c r="AB3" s="13">
        <f>LOOKUP(2,1/([1]UPH!$A$3:$A$211=C3),[1]UPH!$CO$3:$CO$211)</f>
        <v>13536</v>
      </c>
      <c r="AC3" s="25">
        <f>VLOOKUP(G3,[1]Tech!$B$2:$E$22,4,0)</f>
        <v>840</v>
      </c>
      <c r="AD3" s="23">
        <f t="shared" ref="AD3:AD6" si="4">AC3*25/T3</f>
        <v>21000</v>
      </c>
      <c r="AE3" s="24">
        <f t="shared" ref="AE3:AE6" si="5">U3/AD3</f>
        <v>4.7619047619047619</v>
      </c>
      <c r="AF3" s="7">
        <f>VLOOKUP(E3,'[1]Lot size'!$C$2:$E$20,3,0)</f>
        <v>80</v>
      </c>
      <c r="AG3" s="7">
        <f t="shared" ref="AG3:AG61" si="6">IF(T3&lt;4,20,10)</f>
        <v>20</v>
      </c>
      <c r="AH3" s="7">
        <f t="shared" ref="AH3:AH61" si="7">IF(T3&lt;4,4,IF(T3=4,2,1))</f>
        <v>4</v>
      </c>
      <c r="AI3" s="7">
        <f t="shared" ref="AI3:AI61" si="8">AF3*AG3</f>
        <v>1600</v>
      </c>
      <c r="AJ3" s="7">
        <f t="shared" ref="AJ3:AJ61" si="9">AF3*AG3*AH3</f>
        <v>6400</v>
      </c>
      <c r="AK3" s="12">
        <f t="shared" ref="AK3:AK61" si="10">ROUNDUP(AD3/AJ3,0)*AE3</f>
        <v>19.047619047619047</v>
      </c>
    </row>
    <row r="4" spans="1:37">
      <c r="A4" s="7" t="s">
        <v>24</v>
      </c>
      <c r="B4" s="7">
        <f>COUNTIF('[1]Raw data'!$A$3:$A$211,C4)</f>
        <v>1</v>
      </c>
      <c r="C4" s="7" t="str">
        <f t="shared" si="0"/>
        <v>INAND_11.5X13_1_P3016KMA32B3_PHNXX2UX3P09B</v>
      </c>
      <c r="D4" s="7" t="s">
        <v>243</v>
      </c>
      <c r="E4" s="7" t="s">
        <v>250</v>
      </c>
      <c r="F4" s="7">
        <f t="shared" si="1"/>
        <v>1</v>
      </c>
      <c r="G4" s="7" t="s">
        <v>277</v>
      </c>
      <c r="H4" s="7" t="s">
        <v>276</v>
      </c>
      <c r="J4" s="7" t="str">
        <f>VLOOKUP(M4,[2]Plan_82!$C$5:$L$420,9,0)</f>
        <v>32nm 16Gb D2</v>
      </c>
      <c r="K4" s="7" t="str">
        <f>VLOOKUP(M4,[2]Plan_82!$C$5:$H$420,5,0)</f>
        <v>20-81-00251</v>
      </c>
      <c r="L4" s="7" t="s">
        <v>18</v>
      </c>
      <c r="M4" s="7" t="s">
        <v>33</v>
      </c>
      <c r="N4" s="7" t="str">
        <f t="shared" si="2"/>
        <v>54-82-06397-002G</v>
      </c>
      <c r="O4" s="7" t="s">
        <v>30</v>
      </c>
      <c r="P4" s="7" t="s">
        <v>34</v>
      </c>
      <c r="Q4" s="7" t="s">
        <v>35</v>
      </c>
      <c r="R4" s="7" t="s">
        <v>36</v>
      </c>
      <c r="S4" s="7" t="s">
        <v>37</v>
      </c>
      <c r="T4" s="7">
        <v>1</v>
      </c>
      <c r="U4" s="9">
        <f>250440</f>
        <v>250440</v>
      </c>
      <c r="V4" s="7">
        <f t="shared" si="3"/>
        <v>250440</v>
      </c>
      <c r="W4" s="13">
        <f>LOOKUP(2,1/([1]UPH!$A$3:$A$211=C4),[1]UPH!$CJ$3:$CJ$211)</f>
        <v>28571.428571428569</v>
      </c>
      <c r="X4" s="13">
        <f>LOOKUP(2,1/([1]UPH!$A$3:$A$211=C4),[1]UPH!$CK$3:$CK$211)</f>
        <v>13142.857142857143</v>
      </c>
      <c r="Y4" s="13">
        <f>LOOKUP(2,1/([1]UPH!$A$3:$A$211=C4),[1]UPH!$CL$3:$CL$211)</f>
        <v>3911.4503816793895</v>
      </c>
      <c r="Z4" s="13">
        <f>LOOKUP(2,1/([1]UPH!$A$3:$A$211=C4),[1]UPH!$CM$3:$CM$211)</f>
        <v>944.18604651162798</v>
      </c>
      <c r="AA4" s="13">
        <f>LOOKUP(2,1/([1]UPH!$A$3:$A$211=C4),[1]UPH!$CN$3:$CN$211)</f>
        <v>270</v>
      </c>
      <c r="AB4" s="13">
        <f>LOOKUP(2,1/([1]UPH!$A$3:$A$211=C4),[1]UPH!$CO$3:$CO$211)</f>
        <v>13536</v>
      </c>
      <c r="AC4" s="25">
        <f>VLOOKUP(G4,[1]Tech!$B$2:$E$22,4,0)</f>
        <v>600</v>
      </c>
      <c r="AD4" s="23">
        <f t="shared" si="4"/>
        <v>15000</v>
      </c>
      <c r="AE4" s="24">
        <f t="shared" si="5"/>
        <v>16.696000000000002</v>
      </c>
      <c r="AF4" s="7">
        <f>VLOOKUP(E4,'[1]Lot size'!$C$2:$E$20,3,0)</f>
        <v>80</v>
      </c>
      <c r="AG4" s="7">
        <f t="shared" si="6"/>
        <v>20</v>
      </c>
      <c r="AH4" s="7">
        <f t="shared" si="7"/>
        <v>4</v>
      </c>
      <c r="AI4" s="7">
        <f t="shared" si="8"/>
        <v>1600</v>
      </c>
      <c r="AJ4" s="7">
        <f t="shared" si="9"/>
        <v>6400</v>
      </c>
      <c r="AK4" s="12">
        <f t="shared" si="10"/>
        <v>50.088000000000008</v>
      </c>
    </row>
    <row r="5" spans="1:37">
      <c r="A5" s="7" t="s">
        <v>24</v>
      </c>
      <c r="B5" s="7">
        <f>COUNTIF('[1]Raw data'!$A$3:$A$211,C5)</f>
        <v>1</v>
      </c>
      <c r="C5" s="7" t="str">
        <f t="shared" si="0"/>
        <v>INAND_11.5X13_1_P3016KMA32B3_PHNXX2UX3P09B</v>
      </c>
      <c r="D5" s="7" t="s">
        <v>243</v>
      </c>
      <c r="E5" s="7" t="s">
        <v>250</v>
      </c>
      <c r="F5" s="7">
        <f t="shared" si="1"/>
        <v>1</v>
      </c>
      <c r="G5" s="7" t="s">
        <v>277</v>
      </c>
      <c r="H5" s="7" t="s">
        <v>276</v>
      </c>
      <c r="J5" s="7" t="str">
        <f>VLOOKUP(M5,[2]Plan_82!$C$5:$L$420,9,0)</f>
        <v>32nm 16Gb D2</v>
      </c>
      <c r="K5" s="7" t="str">
        <f>VLOOKUP(M5,[2]Plan_82!$C$5:$H$420,5,0)</f>
        <v>20-81-00251</v>
      </c>
      <c r="L5" s="7" t="s">
        <v>18</v>
      </c>
      <c r="M5" s="7" t="s">
        <v>38</v>
      </c>
      <c r="N5" s="7" t="str">
        <f t="shared" si="2"/>
        <v>54-82-06439-002G</v>
      </c>
      <c r="O5" s="7" t="s">
        <v>30</v>
      </c>
      <c r="P5" s="7" t="s">
        <v>34</v>
      </c>
      <c r="Q5" s="7" t="s">
        <v>35</v>
      </c>
      <c r="R5" s="7" t="s">
        <v>36</v>
      </c>
      <c r="S5" s="7" t="s">
        <v>37</v>
      </c>
      <c r="T5" s="7">
        <v>1</v>
      </c>
      <c r="U5" s="9">
        <f>250440-150000</f>
        <v>100440</v>
      </c>
      <c r="V5" s="7">
        <f t="shared" si="3"/>
        <v>100440</v>
      </c>
      <c r="W5" s="13">
        <f>LOOKUP(2,1/([1]UPH!$A$3:$A$211=C5),[1]UPH!$CJ$3:$CJ$211)</f>
        <v>28571.428571428569</v>
      </c>
      <c r="X5" s="13">
        <f>LOOKUP(2,1/([1]UPH!$A$3:$A$211=C5),[1]UPH!$CK$3:$CK$211)</f>
        <v>13142.857142857143</v>
      </c>
      <c r="Y5" s="13">
        <f>LOOKUP(2,1/([1]UPH!$A$3:$A$211=C5),[1]UPH!$CL$3:$CL$211)</f>
        <v>3911.4503816793895</v>
      </c>
      <c r="Z5" s="13">
        <f>LOOKUP(2,1/([1]UPH!$A$3:$A$211=C5),[1]UPH!$CM$3:$CM$211)</f>
        <v>944.18604651162798</v>
      </c>
      <c r="AA5" s="13">
        <f>LOOKUP(2,1/([1]UPH!$A$3:$A$211=C5),[1]UPH!$CN$3:$CN$211)</f>
        <v>270</v>
      </c>
      <c r="AB5" s="13">
        <f>LOOKUP(2,1/([1]UPH!$A$3:$A$211=C5),[1]UPH!$CO$3:$CO$211)</f>
        <v>13536</v>
      </c>
      <c r="AC5" s="25">
        <f>VLOOKUP(G5,[1]Tech!$B$2:$E$22,4,0)</f>
        <v>600</v>
      </c>
      <c r="AD5" s="23">
        <f t="shared" si="4"/>
        <v>15000</v>
      </c>
      <c r="AE5" s="24">
        <f t="shared" si="5"/>
        <v>6.6959999999999997</v>
      </c>
      <c r="AF5" s="7">
        <f>VLOOKUP(E5,'[1]Lot size'!$C$2:$E$20,3,0)</f>
        <v>80</v>
      </c>
      <c r="AG5" s="7">
        <f t="shared" si="6"/>
        <v>20</v>
      </c>
      <c r="AH5" s="7">
        <f t="shared" si="7"/>
        <v>4</v>
      </c>
      <c r="AI5" s="7">
        <f t="shared" si="8"/>
        <v>1600</v>
      </c>
      <c r="AJ5" s="7">
        <f t="shared" si="9"/>
        <v>6400</v>
      </c>
      <c r="AK5" s="12">
        <f t="shared" si="10"/>
        <v>20.088000000000001</v>
      </c>
    </row>
    <row r="6" spans="1:37">
      <c r="A6" s="7" t="s">
        <v>24</v>
      </c>
      <c r="B6" s="7">
        <f>COUNTIF('[1]Raw data'!$A$3:$A$211,C6)</f>
        <v>1</v>
      </c>
      <c r="C6" s="7" t="str">
        <f t="shared" si="0"/>
        <v>INAND_12X16_4_P3065KMH24B3_PHNXX2MH3P06A</v>
      </c>
      <c r="D6" s="7" t="s">
        <v>243</v>
      </c>
      <c r="E6" s="7" t="s">
        <v>251</v>
      </c>
      <c r="F6" s="7">
        <f t="shared" si="1"/>
        <v>4</v>
      </c>
      <c r="G6" s="7" t="s">
        <v>278</v>
      </c>
      <c r="H6" s="7" t="s">
        <v>275</v>
      </c>
      <c r="J6" s="7" t="e">
        <f>VLOOKUP(M6,[2]Plan_82!$D$5:$K$420,6,0)</f>
        <v>#N/A</v>
      </c>
      <c r="K6" s="7" t="e">
        <f>VLOOKUP(M6,[2]Plan_82!$C$5:$H$420,5,0)</f>
        <v>#N/A</v>
      </c>
      <c r="L6" s="7" t="s">
        <v>39</v>
      </c>
      <c r="M6" s="7" t="s">
        <v>270</v>
      </c>
      <c r="N6" s="7" t="str">
        <f t="shared" si="2"/>
        <v>54-82-07407-032G</v>
      </c>
      <c r="O6" s="7" t="s">
        <v>26</v>
      </c>
      <c r="P6" s="7" t="s">
        <v>40</v>
      </c>
      <c r="Q6" s="7" t="s">
        <v>41</v>
      </c>
      <c r="R6" s="7" t="s">
        <v>42</v>
      </c>
      <c r="S6" s="7" t="s">
        <v>43</v>
      </c>
      <c r="T6" s="7">
        <v>4</v>
      </c>
      <c r="U6" s="9">
        <v>85000</v>
      </c>
      <c r="V6" s="7">
        <f t="shared" si="3"/>
        <v>340000</v>
      </c>
      <c r="W6" s="13">
        <f>LOOKUP(2,1/([1]UPH!$A$3:$A$211=C6),[1]UPH!$CJ$3:$CJ$211)</f>
        <v>1681.5920398009951</v>
      </c>
      <c r="X6" s="13">
        <f>LOOKUP(2,1/([1]UPH!$A$3:$A$211=C6),[1]UPH!$CK$3:$CK$211)</f>
        <v>937.81094527363189</v>
      </c>
      <c r="Y6" s="13">
        <f>LOOKUP(2,1/([1]UPH!$A$3:$A$211=C6),[1]UPH!$CL$3:$CL$211)</f>
        <v>343.98625429553266</v>
      </c>
      <c r="Z6" s="13">
        <f>LOOKUP(2,1/([1]UPH!$A$3:$A$211=C6),[1]UPH!$CM$3:$CM$211)</f>
        <v>263.19018404907979</v>
      </c>
      <c r="AA6" s="13">
        <f>LOOKUP(2,1/([1]UPH!$A$3:$A$211=C6),[1]UPH!$CN$3:$CN$211)</f>
        <v>110</v>
      </c>
      <c r="AB6" s="13">
        <f>LOOKUP(2,1/([1]UPH!$A$3:$A$211=C6),[1]UPH!$CO$3:$CO$211)</f>
        <v>12182.4</v>
      </c>
      <c r="AC6" s="25">
        <f>VLOOKUP(G6,[1]Tech!$B$2:$E$22,4,0)</f>
        <v>260</v>
      </c>
      <c r="AD6" s="23">
        <f t="shared" si="4"/>
        <v>1625</v>
      </c>
      <c r="AE6" s="24">
        <f t="shared" si="5"/>
        <v>52.307692307692307</v>
      </c>
      <c r="AF6" s="7">
        <f>VLOOKUP(E6,'[1]Lot size'!$C$2:$E$20,3,0)</f>
        <v>72</v>
      </c>
      <c r="AG6" s="7">
        <f t="shared" si="6"/>
        <v>10</v>
      </c>
      <c r="AH6" s="7">
        <f t="shared" si="7"/>
        <v>2</v>
      </c>
      <c r="AI6" s="7">
        <f t="shared" si="8"/>
        <v>720</v>
      </c>
      <c r="AJ6" s="7">
        <f t="shared" si="9"/>
        <v>1440</v>
      </c>
      <c r="AK6" s="12">
        <f t="shared" si="10"/>
        <v>104.61538461538461</v>
      </c>
    </row>
    <row r="7" spans="1:37">
      <c r="A7" s="7" t="s">
        <v>24</v>
      </c>
      <c r="B7" s="7">
        <f>COUNTIF('[1]Raw data'!$A$3:$A$211,C7)</f>
        <v>1</v>
      </c>
      <c r="C7" s="7" t="str">
        <f t="shared" si="0"/>
        <v>INAND_12X16_1_P3032KMA32B3_PHNXX2UX3P09B</v>
      </c>
      <c r="D7" s="7" t="s">
        <v>243</v>
      </c>
      <c r="E7" s="7" t="s">
        <v>251</v>
      </c>
      <c r="F7" s="7">
        <f t="shared" si="1"/>
        <v>1</v>
      </c>
      <c r="G7" s="7" t="s">
        <v>279</v>
      </c>
      <c r="H7" s="7" t="s">
        <v>276</v>
      </c>
      <c r="J7" s="7" t="str">
        <f>VLOOKUP(M7,[2]Plan_82!$C$5:$L$420,9,0)</f>
        <v>32nm 32Gb D2</v>
      </c>
      <c r="K7" s="7" t="str">
        <f>VLOOKUP(M7,[2]Plan_82!$C$5:$H$420,5,0)</f>
        <v>20-81-00251</v>
      </c>
      <c r="L7" s="7" t="s">
        <v>44</v>
      </c>
      <c r="M7" s="7" t="s">
        <v>45</v>
      </c>
      <c r="N7" s="7" t="str">
        <f t="shared" si="2"/>
        <v>54-82-06143-004G</v>
      </c>
      <c r="O7" s="7" t="s">
        <v>46</v>
      </c>
      <c r="P7" s="7" t="s">
        <v>47</v>
      </c>
      <c r="Q7" s="7" t="s">
        <v>48</v>
      </c>
      <c r="R7" s="7" t="s">
        <v>36</v>
      </c>
      <c r="S7" s="7" t="s">
        <v>49</v>
      </c>
      <c r="T7" s="7">
        <v>1</v>
      </c>
      <c r="U7" s="9">
        <v>106224</v>
      </c>
      <c r="V7" s="7">
        <f t="shared" si="3"/>
        <v>106224</v>
      </c>
      <c r="W7" s="13">
        <f>LOOKUP(2,1/([1]UPH!$A$3:$A$211=C7),[1]UPH!$CJ$3:$CJ$211)</f>
        <v>17018.18181818182</v>
      </c>
      <c r="X7" s="13">
        <f>LOOKUP(2,1/([1]UPH!$A$3:$A$211=C7),[1]UPH!$CK$3:$CK$211)</f>
        <v>7903.8841342988808</v>
      </c>
      <c r="Y7" s="13">
        <f>LOOKUP(2,1/([1]UPH!$A$3:$A$211=C7),[1]UPH!$CL$3:$CL$211)</f>
        <v>2990.616375344986</v>
      </c>
      <c r="Z7" s="13">
        <f>LOOKUP(2,1/([1]UPH!$A$3:$A$211=C7),[1]UPH!$CM$3:$CM$211)</f>
        <v>897.61904761904771</v>
      </c>
      <c r="AA7" s="13">
        <f>LOOKUP(2,1/([1]UPH!$A$3:$A$211=C7),[1]UPH!$CN$3:$CN$211)</f>
        <v>240</v>
      </c>
      <c r="AB7" s="13">
        <f>LOOKUP(2,1/([1]UPH!$A$3:$A$211=C7),[1]UPH!$CO$3:$CO$211)</f>
        <v>12182.4</v>
      </c>
      <c r="AC7" s="25">
        <f>VLOOKUP(G7,[1]Tech!$B$2:$E$22,4,0)</f>
        <v>360</v>
      </c>
      <c r="AD7" s="23">
        <f>AC7*25/T7</f>
        <v>9000</v>
      </c>
      <c r="AE7" s="24">
        <f>U7/AD7</f>
        <v>11.802666666666667</v>
      </c>
      <c r="AF7" s="7">
        <f>VLOOKUP(E7,'[1]Lot size'!$C$2:$E$20,3,0)</f>
        <v>72</v>
      </c>
      <c r="AG7" s="7">
        <f t="shared" si="6"/>
        <v>20</v>
      </c>
      <c r="AH7" s="7">
        <f t="shared" si="7"/>
        <v>4</v>
      </c>
      <c r="AI7" s="7">
        <f t="shared" si="8"/>
        <v>1440</v>
      </c>
      <c r="AJ7" s="7">
        <f t="shared" si="9"/>
        <v>5760</v>
      </c>
      <c r="AK7" s="12">
        <f t="shared" si="10"/>
        <v>23.605333333333334</v>
      </c>
    </row>
    <row r="8" spans="1:37">
      <c r="A8" s="7" t="s">
        <v>24</v>
      </c>
      <c r="B8" s="7">
        <f>COUNTIF('[1]Raw data'!$A$3:$A$211,C8)</f>
        <v>1</v>
      </c>
      <c r="C8" s="7" t="str">
        <f t="shared" si="0"/>
        <v>INAND_12X16_1_P3032KMA32B3_PHNXX2UX3P09B</v>
      </c>
      <c r="D8" s="7" t="s">
        <v>243</v>
      </c>
      <c r="E8" s="7" t="s">
        <v>251</v>
      </c>
      <c r="F8" s="7">
        <f t="shared" si="1"/>
        <v>1</v>
      </c>
      <c r="G8" s="7" t="s">
        <v>279</v>
      </c>
      <c r="H8" s="7" t="s">
        <v>276</v>
      </c>
      <c r="J8" s="7" t="str">
        <f>VLOOKUP(M8,[2]Plan_82!$C$5:$L$420,9,0)</f>
        <v>32nm 32Gb D2</v>
      </c>
      <c r="K8" s="7" t="str">
        <f>VLOOKUP(M8,[2]Plan_82!$C$5:$H$420,5,0)</f>
        <v>20-81-00251</v>
      </c>
      <c r="L8" s="7" t="s">
        <v>44</v>
      </c>
      <c r="M8" s="7" t="s">
        <v>50</v>
      </c>
      <c r="N8" s="7" t="str">
        <f t="shared" si="2"/>
        <v>54-82-06464-004G</v>
      </c>
      <c r="O8" s="7" t="s">
        <v>46</v>
      </c>
      <c r="P8" s="7" t="s">
        <v>47</v>
      </c>
      <c r="Q8" s="7" t="s">
        <v>51</v>
      </c>
      <c r="R8" s="7" t="s">
        <v>36</v>
      </c>
      <c r="S8" s="7" t="s">
        <v>49</v>
      </c>
      <c r="T8" s="7">
        <v>1</v>
      </c>
      <c r="U8" s="9">
        <v>125000</v>
      </c>
      <c r="V8" s="7">
        <f t="shared" si="3"/>
        <v>125000</v>
      </c>
      <c r="W8" s="13">
        <f>LOOKUP(2,1/([1]UPH!$A$3:$A$211=C8),[1]UPH!$CJ$3:$CJ$211)</f>
        <v>17018.18181818182</v>
      </c>
      <c r="X8" s="13">
        <f>LOOKUP(2,1/([1]UPH!$A$3:$A$211=C8),[1]UPH!$CK$3:$CK$211)</f>
        <v>7903.8841342988808</v>
      </c>
      <c r="Y8" s="13">
        <f>LOOKUP(2,1/([1]UPH!$A$3:$A$211=C8),[1]UPH!$CL$3:$CL$211)</f>
        <v>2990.616375344986</v>
      </c>
      <c r="Z8" s="13">
        <f>LOOKUP(2,1/([1]UPH!$A$3:$A$211=C8),[1]UPH!$CM$3:$CM$211)</f>
        <v>897.61904761904771</v>
      </c>
      <c r="AA8" s="13">
        <f>LOOKUP(2,1/([1]UPH!$A$3:$A$211=C8),[1]UPH!$CN$3:$CN$211)</f>
        <v>240</v>
      </c>
      <c r="AB8" s="13">
        <f>LOOKUP(2,1/([1]UPH!$A$3:$A$211=C8),[1]UPH!$CO$3:$CO$211)</f>
        <v>12182.4</v>
      </c>
      <c r="AC8" s="25">
        <f>VLOOKUP(G8,[1]Tech!$B$2:$E$22,4,0)</f>
        <v>360</v>
      </c>
      <c r="AD8" s="23">
        <f t="shared" ref="AD8:AD14" si="11">AC8*25/T8</f>
        <v>9000</v>
      </c>
      <c r="AE8" s="24">
        <f t="shared" ref="AE8:AE14" si="12">U8/AD8</f>
        <v>13.888888888888889</v>
      </c>
      <c r="AF8" s="7">
        <f>VLOOKUP(E8,'[1]Lot size'!$C$2:$E$20,3,0)</f>
        <v>72</v>
      </c>
      <c r="AG8" s="7">
        <f t="shared" si="6"/>
        <v>20</v>
      </c>
      <c r="AH8" s="7">
        <f t="shared" si="7"/>
        <v>4</v>
      </c>
      <c r="AI8" s="7">
        <f t="shared" si="8"/>
        <v>1440</v>
      </c>
      <c r="AJ8" s="7">
        <f t="shared" si="9"/>
        <v>5760</v>
      </c>
      <c r="AK8" s="12">
        <f t="shared" si="10"/>
        <v>27.777777777777779</v>
      </c>
    </row>
    <row r="9" spans="1:37">
      <c r="A9" s="7" t="s">
        <v>24</v>
      </c>
      <c r="B9" s="7">
        <f>COUNTIF('[1]Raw data'!$A$3:$A$211,C9)</f>
        <v>1</v>
      </c>
      <c r="C9" s="7" t="str">
        <f t="shared" si="0"/>
        <v>INAND_12X16_2_P3032KMA32B3_PHNXX2UX3P09B</v>
      </c>
      <c r="D9" s="7" t="s">
        <v>243</v>
      </c>
      <c r="E9" s="7" t="s">
        <v>251</v>
      </c>
      <c r="F9" s="7">
        <f t="shared" si="1"/>
        <v>2</v>
      </c>
      <c r="G9" s="7" t="s">
        <v>279</v>
      </c>
      <c r="H9" s="7" t="s">
        <v>276</v>
      </c>
      <c r="J9" s="7" t="str">
        <f>VLOOKUP(M9,[2]Plan_82!$C$5:$L$420,9,0)</f>
        <v>32nm 32Gb D2</v>
      </c>
      <c r="K9" s="7" t="str">
        <f>VLOOKUP(M9,[2]Plan_82!$C$5:$H$420,5,0)</f>
        <v>20-81-00251</v>
      </c>
      <c r="L9" s="7" t="s">
        <v>52</v>
      </c>
      <c r="M9" s="7" t="s">
        <v>53</v>
      </c>
      <c r="N9" s="7" t="str">
        <f t="shared" si="2"/>
        <v>54-82-06143-008G</v>
      </c>
      <c r="O9" s="7" t="s">
        <v>54</v>
      </c>
      <c r="P9" s="7" t="s">
        <v>55</v>
      </c>
      <c r="Q9" s="7" t="s">
        <v>48</v>
      </c>
      <c r="R9" s="7" t="s">
        <v>36</v>
      </c>
      <c r="S9" s="7" t="s">
        <v>49</v>
      </c>
      <c r="T9" s="7">
        <v>2</v>
      </c>
      <c r="U9" s="9">
        <f>0+45000</f>
        <v>45000</v>
      </c>
      <c r="V9" s="7">
        <f t="shared" si="3"/>
        <v>90000</v>
      </c>
      <c r="W9" s="13">
        <f>LOOKUP(2,1/([1]UPH!$A$3:$A$211=C9),[1]UPH!$CJ$3:$CJ$211)</f>
        <v>8747.663551401869</v>
      </c>
      <c r="X9" s="13">
        <f>LOOKUP(2,1/([1]UPH!$A$3:$A$211=C9),[1]UPH!$CK$3:$CK$211)</f>
        <v>4043.7857864600878</v>
      </c>
      <c r="Y9" s="13">
        <f>LOOKUP(2,1/([1]UPH!$A$3:$A$211=C9),[1]UPH!$CL$3:$CL$211)</f>
        <v>1819.1382204812535</v>
      </c>
      <c r="Z9" s="13">
        <f>LOOKUP(2,1/([1]UPH!$A$3:$A$211=C9),[1]UPH!$CM$3:$CM$211)</f>
        <v>637.25490196078431</v>
      </c>
      <c r="AA9" s="13">
        <f>LOOKUP(2,1/([1]UPH!$A$3:$A$211=C9),[1]UPH!$CN$3:$CN$211)</f>
        <v>140</v>
      </c>
      <c r="AB9" s="13">
        <f>LOOKUP(2,1/([1]UPH!$A$3:$A$211=C9),[1]UPH!$CO$3:$CO$211)</f>
        <v>12182.4</v>
      </c>
      <c r="AC9" s="25">
        <f>VLOOKUP(G9,[1]Tech!$B$2:$E$22,4,0)</f>
        <v>360</v>
      </c>
      <c r="AD9" s="23">
        <f t="shared" si="11"/>
        <v>4500</v>
      </c>
      <c r="AE9" s="24">
        <f t="shared" si="12"/>
        <v>10</v>
      </c>
      <c r="AF9" s="7">
        <f>VLOOKUP(E9,'[1]Lot size'!$C$2:$E$20,3,0)</f>
        <v>72</v>
      </c>
      <c r="AG9" s="7">
        <f t="shared" si="6"/>
        <v>20</v>
      </c>
      <c r="AH9" s="7">
        <f t="shared" si="7"/>
        <v>4</v>
      </c>
      <c r="AI9" s="7">
        <f t="shared" si="8"/>
        <v>1440</v>
      </c>
      <c r="AJ9" s="7">
        <f t="shared" si="9"/>
        <v>5760</v>
      </c>
      <c r="AK9" s="12">
        <f t="shared" si="10"/>
        <v>10</v>
      </c>
    </row>
    <row r="10" spans="1:37">
      <c r="A10" s="7" t="s">
        <v>24</v>
      </c>
      <c r="B10" s="7">
        <f>COUNTIF('[1]Raw data'!$A$3:$A$211,C10)</f>
        <v>1</v>
      </c>
      <c r="C10" s="7" t="str">
        <f t="shared" si="0"/>
        <v>INAND_12X16_1_P3065KMH24B3_PHNXX2MH3P06A</v>
      </c>
      <c r="D10" s="7" t="s">
        <v>243</v>
      </c>
      <c r="E10" s="7" t="s">
        <v>251</v>
      </c>
      <c r="F10" s="7">
        <f t="shared" si="1"/>
        <v>1</v>
      </c>
      <c r="G10" s="7" t="s">
        <v>278</v>
      </c>
      <c r="H10" s="7" t="s">
        <v>275</v>
      </c>
      <c r="J10" s="7" t="e">
        <f>VLOOKUP(M10,[2]Plan_82!$D$5:$K$420,6,0)</f>
        <v>#N/A</v>
      </c>
      <c r="K10" s="7" t="e">
        <f>VLOOKUP(M10,[2]Plan_82!$C$5:$H$420,5,0)</f>
        <v>#N/A</v>
      </c>
      <c r="L10" s="7" t="s">
        <v>52</v>
      </c>
      <c r="M10" s="7" t="s">
        <v>56</v>
      </c>
      <c r="N10" s="7" t="str">
        <f t="shared" si="2"/>
        <v>54-82-07407-008G</v>
      </c>
      <c r="O10" s="7" t="s">
        <v>46</v>
      </c>
      <c r="P10" s="7" t="s">
        <v>57</v>
      </c>
      <c r="Q10" s="7" t="s">
        <v>58</v>
      </c>
      <c r="R10" s="7" t="s">
        <v>42</v>
      </c>
      <c r="S10" s="7" t="s">
        <v>43</v>
      </c>
      <c r="T10" s="7">
        <v>1</v>
      </c>
      <c r="U10" s="9">
        <v>220000</v>
      </c>
      <c r="V10" s="7">
        <f t="shared" si="3"/>
        <v>220000</v>
      </c>
      <c r="W10" s="13">
        <f>LOOKUP(2,1/([1]UPH!$A$3:$A$211=C10),[1]UPH!$CJ$3:$CJ$211)</f>
        <v>12518.518518518518</v>
      </c>
      <c r="X10" s="13">
        <f>LOOKUP(2,1/([1]UPH!$A$3:$A$211=C10),[1]UPH!$CK$3:$CK$211)</f>
        <v>5796.1229946524072</v>
      </c>
      <c r="Y10" s="13">
        <f>LOOKUP(2,1/([1]UPH!$A$3:$A$211=C10),[1]UPH!$CL$3:$CL$211)</f>
        <v>2450.7306889352822</v>
      </c>
      <c r="Z10" s="13">
        <f>LOOKUP(2,1/([1]UPH!$A$3:$A$211=C10),[1]UPH!$CM$3:$CM$211)</f>
        <v>897.61904761904771</v>
      </c>
      <c r="AA10" s="13">
        <f>LOOKUP(2,1/([1]UPH!$A$3:$A$211=C10),[1]UPH!$CN$3:$CN$211)</f>
        <v>300</v>
      </c>
      <c r="AB10" s="13">
        <f>LOOKUP(2,1/([1]UPH!$A$3:$A$211=C10),[1]UPH!$CO$3:$CO$211)</f>
        <v>12182.4</v>
      </c>
      <c r="AC10" s="25">
        <f>VLOOKUP(G10,[1]Tech!$B$2:$E$22,4,0)</f>
        <v>260</v>
      </c>
      <c r="AD10" s="23">
        <f t="shared" si="11"/>
        <v>6500</v>
      </c>
      <c r="AE10" s="24">
        <f t="shared" si="12"/>
        <v>33.846153846153847</v>
      </c>
      <c r="AF10" s="7">
        <f>VLOOKUP(E10,'[1]Lot size'!$C$2:$E$20,3,0)</f>
        <v>72</v>
      </c>
      <c r="AG10" s="7">
        <f t="shared" si="6"/>
        <v>20</v>
      </c>
      <c r="AH10" s="7">
        <f t="shared" si="7"/>
        <v>4</v>
      </c>
      <c r="AI10" s="7">
        <f t="shared" si="8"/>
        <v>1440</v>
      </c>
      <c r="AJ10" s="7">
        <f t="shared" si="9"/>
        <v>5760</v>
      </c>
      <c r="AK10" s="12">
        <f t="shared" si="10"/>
        <v>67.692307692307693</v>
      </c>
    </row>
    <row r="11" spans="1:37">
      <c r="A11" s="7" t="s">
        <v>59</v>
      </c>
      <c r="B11" s="7">
        <f>COUNTIF('[1]Raw data'!$A$3:$A$211,C11)</f>
        <v>1</v>
      </c>
      <c r="C11" s="7" t="str">
        <f>D11&amp;"_"&amp;E11&amp;"_"&amp;F11&amp;"_"&amp;G11&amp;"_"&amp;H11&amp;"_"&amp;I11</f>
        <v>MCP_12X16_2_P3065KMH24B3_PHNXX2MH3P06A_54-07-03938</v>
      </c>
      <c r="D11" s="7" t="s">
        <v>244</v>
      </c>
      <c r="E11" s="7" t="s">
        <v>264</v>
      </c>
      <c r="F11" s="7">
        <f t="shared" si="1"/>
        <v>2</v>
      </c>
      <c r="G11" s="7" t="s">
        <v>278</v>
      </c>
      <c r="H11" s="7" t="s">
        <v>275</v>
      </c>
      <c r="I11" s="7" t="s">
        <v>263</v>
      </c>
      <c r="J11" s="7" t="e">
        <f>VLOOKUP(M11,[2]Plan_82!$D$5:$K$420,6,0)</f>
        <v>#N/A</v>
      </c>
      <c r="K11" s="7" t="e">
        <f>VLOOKUP(M11,[2]Plan_82!$C$5:$H$420,5,0)</f>
        <v>#N/A</v>
      </c>
      <c r="L11" s="7" t="s">
        <v>25</v>
      </c>
      <c r="M11" s="7" t="s">
        <v>60</v>
      </c>
      <c r="N11" s="7" t="str">
        <f t="shared" si="2"/>
        <v>54-82-07798-016G</v>
      </c>
      <c r="Q11" s="7" t="s">
        <v>61</v>
      </c>
      <c r="R11" s="7" t="s">
        <v>62</v>
      </c>
      <c r="S11" s="7" t="s">
        <v>63</v>
      </c>
      <c r="T11" s="7">
        <v>2</v>
      </c>
      <c r="U11" s="9">
        <f>0+80000</f>
        <v>80000</v>
      </c>
      <c r="V11" s="7">
        <f t="shared" si="3"/>
        <v>160000</v>
      </c>
      <c r="W11" s="13">
        <f>LOOKUP(2,1/([1]UPH!$A$3:$A$211=C11),[1]UPH!$CJ$3:$CJ$211)</f>
        <v>4306.1443109648781</v>
      </c>
      <c r="X11" s="13">
        <f>LOOKUP(2,1/([1]UPH!$A$3:$A$211=C11),[1]UPH!$CK$3:$CK$211)</f>
        <v>1737.6449500676738</v>
      </c>
      <c r="Y11" s="13">
        <f>LOOKUP(2,1/([1]UPH!$A$3:$A$211=C11),[1]UPH!$CL$3:$CL$211)</f>
        <v>1328.9225012185343</v>
      </c>
      <c r="Z11" s="13">
        <f>LOOKUP(2,1/([1]UPH!$A$3:$A$211=C11),[1]UPH!$CM$3:$CM$211)</f>
        <v>253.44036697247708</v>
      </c>
      <c r="AA11" s="13">
        <f>LOOKUP(2,1/([1]UPH!$A$3:$A$211=C11),[1]UPH!$CN$3:$CN$211)</f>
        <v>85</v>
      </c>
      <c r="AB11" s="13">
        <f>LOOKUP(2,1/([1]UPH!$A$3:$A$211=C11),[1]UPH!$CO$3:$CO$211)</f>
        <v>7192.8</v>
      </c>
      <c r="AC11" s="25">
        <f>VLOOKUP(G11,[1]Tech!$B$2:$E$22,4,0)</f>
        <v>260</v>
      </c>
      <c r="AD11" s="23">
        <f t="shared" si="11"/>
        <v>3250</v>
      </c>
      <c r="AE11" s="24">
        <f t="shared" si="12"/>
        <v>24.615384615384617</v>
      </c>
      <c r="AF11" s="7">
        <f>VLOOKUP(E11,'[1]Lot size'!$C$2:$E$20,3,0)</f>
        <v>72</v>
      </c>
      <c r="AG11" s="7">
        <f t="shared" si="6"/>
        <v>20</v>
      </c>
      <c r="AH11" s="7">
        <f t="shared" si="7"/>
        <v>4</v>
      </c>
      <c r="AI11" s="7">
        <f t="shared" si="8"/>
        <v>1440</v>
      </c>
      <c r="AJ11" s="7">
        <f t="shared" si="9"/>
        <v>5760</v>
      </c>
      <c r="AK11" s="12">
        <f t="shared" si="10"/>
        <v>24.615384615384617</v>
      </c>
    </row>
    <row r="12" spans="1:37">
      <c r="A12" s="7" t="s">
        <v>64</v>
      </c>
      <c r="B12" s="7">
        <f>COUNTIF('[1]Raw data'!$A$3:$A$211,C12)</f>
        <v>1</v>
      </c>
      <c r="C12" s="7" t="str">
        <f t="shared" si="0"/>
        <v>MEMORY DEVICE_11X14_4_P3032KMA32B3_NA</v>
      </c>
      <c r="D12" s="7" t="s">
        <v>64</v>
      </c>
      <c r="E12" s="7" t="s">
        <v>252</v>
      </c>
      <c r="F12" s="7">
        <f t="shared" si="1"/>
        <v>4</v>
      </c>
      <c r="G12" s="7" t="s">
        <v>279</v>
      </c>
      <c r="H12" s="7" t="s">
        <v>280</v>
      </c>
      <c r="J12" s="7" t="str">
        <f>VLOOKUP(M12,[2]Plan_82!$C$5:$L$420,9,0)</f>
        <v>32nm 32Gb D2</v>
      </c>
      <c r="K12" s="7">
        <f>VLOOKUP(M12,[2]Plan_82!$C$5:$H$420,5,0)</f>
        <v>0</v>
      </c>
      <c r="L12" s="7" t="s">
        <v>25</v>
      </c>
      <c r="M12" s="7" t="s">
        <v>65</v>
      </c>
      <c r="N12" s="7" t="str">
        <f t="shared" si="2"/>
        <v>54-82-05010-016G</v>
      </c>
      <c r="O12" s="7" t="s">
        <v>66</v>
      </c>
      <c r="P12" s="7" t="s">
        <v>67</v>
      </c>
      <c r="Q12" s="7" t="s">
        <v>68</v>
      </c>
      <c r="R12" s="7" t="s">
        <v>69</v>
      </c>
      <c r="S12" s="7" t="s">
        <v>70</v>
      </c>
      <c r="T12" s="7">
        <v>4</v>
      </c>
      <c r="U12" s="9">
        <v>315001</v>
      </c>
      <c r="V12" s="7">
        <f t="shared" si="3"/>
        <v>1260004</v>
      </c>
      <c r="W12" s="13">
        <f>LOOKUP(2,1/([1]UPH!$A$3:$A$211=C12),[1]UPH!$CJ$3:$CJ$211)</f>
        <v>2340</v>
      </c>
      <c r="X12" s="13">
        <f>LOOKUP(2,1/([1]UPH!$A$3:$A$211=C12),[1]UPH!$CK$3:$CK$211)</f>
        <v>1305</v>
      </c>
      <c r="Y12" s="13">
        <f>LOOKUP(2,1/([1]UPH!$A$3:$A$211=C12),[1]UPH!$CL$3:$CL$211)</f>
        <v>720</v>
      </c>
      <c r="Z12" s="13">
        <f>LOOKUP(2,1/([1]UPH!$A$3:$A$211=C12),[1]UPH!$CM$3:$CM$211)</f>
        <v>380</v>
      </c>
      <c r="AA12" s="13">
        <f>LOOKUP(2,1/([1]UPH!$A$3:$A$211=C12),[1]UPH!$CN$3:$CN$211)</f>
        <v>82.424242424242422</v>
      </c>
      <c r="AB12" s="13">
        <f>LOOKUP(2,1/([1]UPH!$A$3:$A$211=C12),[1]UPH!$CO$3:$CO$211)</f>
        <v>12182.4</v>
      </c>
      <c r="AC12" s="25">
        <f>VLOOKUP(G12,[1]Tech!$B$2:$E$22,4,0)</f>
        <v>360</v>
      </c>
      <c r="AD12" s="23">
        <f t="shared" si="11"/>
        <v>2250</v>
      </c>
      <c r="AE12" s="24">
        <f t="shared" si="12"/>
        <v>140.00044444444444</v>
      </c>
      <c r="AF12" s="7">
        <f>VLOOKUP(E12,'[1]Lot size'!$C$2:$E$20,3,0)</f>
        <v>72</v>
      </c>
      <c r="AG12" s="7">
        <f t="shared" si="6"/>
        <v>10</v>
      </c>
      <c r="AH12" s="7">
        <f t="shared" si="7"/>
        <v>2</v>
      </c>
      <c r="AI12" s="7">
        <f t="shared" si="8"/>
        <v>720</v>
      </c>
      <c r="AJ12" s="7">
        <f t="shared" si="9"/>
        <v>1440</v>
      </c>
      <c r="AK12" s="12">
        <f t="shared" si="10"/>
        <v>280.00088888888888</v>
      </c>
    </row>
    <row r="13" spans="1:37">
      <c r="A13" s="7" t="s">
        <v>64</v>
      </c>
      <c r="B13" s="7">
        <f>COUNTIF('[1]Raw data'!$A$3:$A$211,C13)</f>
        <v>1</v>
      </c>
      <c r="C13" s="7" t="str">
        <f t="shared" si="0"/>
        <v>MEMORY DEVICE_14X18_4_P3065KMH24B3_NA</v>
      </c>
      <c r="D13" s="7" t="s">
        <v>64</v>
      </c>
      <c r="E13" s="7" t="s">
        <v>253</v>
      </c>
      <c r="F13" s="7">
        <f t="shared" si="1"/>
        <v>4</v>
      </c>
      <c r="G13" s="7" t="s">
        <v>278</v>
      </c>
      <c r="H13" s="7" t="s">
        <v>280</v>
      </c>
      <c r="J13" s="7" t="str">
        <f>VLOOKUP(M13,[2]Plan_82!$C$5:$L$420,9,0)</f>
        <v>24nm 64Gb D2H</v>
      </c>
      <c r="K13" s="7">
        <f>VLOOKUP(M13,[2]Plan_82!$C$5:$H$420,5,0)</f>
        <v>0</v>
      </c>
      <c r="L13" s="7" t="s">
        <v>39</v>
      </c>
      <c r="M13" s="7" t="s">
        <v>71</v>
      </c>
      <c r="N13" s="7" t="str">
        <f t="shared" si="2"/>
        <v>54-82-05105-032G</v>
      </c>
      <c r="O13" s="7" t="s">
        <v>72</v>
      </c>
      <c r="P13" s="7" t="s">
        <v>73</v>
      </c>
      <c r="Q13" s="7" t="s">
        <v>74</v>
      </c>
      <c r="R13" s="7" t="s">
        <v>69</v>
      </c>
      <c r="S13" s="7" t="s">
        <v>75</v>
      </c>
      <c r="T13" s="7">
        <v>4</v>
      </c>
      <c r="U13" s="9">
        <v>252</v>
      </c>
      <c r="V13" s="7">
        <f t="shared" si="3"/>
        <v>1008</v>
      </c>
      <c r="W13" s="13">
        <f>LOOKUP(2,1/([1]UPH!$A$3:$A$211=C13),[1]UPH!$CJ$3:$CJ$211)</f>
        <v>2405</v>
      </c>
      <c r="X13" s="13">
        <f>LOOKUP(2,1/([1]UPH!$A$3:$A$211=C13),[1]UPH!$CK$3:$CK$211)</f>
        <v>942.50000000000011</v>
      </c>
      <c r="Y13" s="13">
        <f>LOOKUP(2,1/([1]UPH!$A$3:$A$211=C13),[1]UPH!$CL$3:$CL$211)</f>
        <v>487.5</v>
      </c>
      <c r="Z13" s="13">
        <f>LOOKUP(2,1/([1]UPH!$A$3:$A$211=C13),[1]UPH!$CM$3:$CM$211)</f>
        <v>400</v>
      </c>
      <c r="AA13" s="13">
        <f>LOOKUP(2,1/([1]UPH!$A$3:$A$211=C13),[1]UPH!$CN$3:$CN$211)</f>
        <v>80</v>
      </c>
      <c r="AB13" s="13">
        <f>LOOKUP(2,1/([1]UPH!$A$3:$A$211=C13),[1]UPH!$CO$3:$CO$211)</f>
        <v>8121.6</v>
      </c>
      <c r="AC13" s="25">
        <f>VLOOKUP(G13,[1]Tech!$B$2:$E$22,4,0)</f>
        <v>260</v>
      </c>
      <c r="AD13" s="23">
        <f t="shared" si="11"/>
        <v>1625</v>
      </c>
      <c r="AE13" s="24">
        <f t="shared" si="12"/>
        <v>0.15507692307692308</v>
      </c>
      <c r="AF13" s="7">
        <f>VLOOKUP(E13,'[1]Lot size'!$C$2:$E$20,3,0)</f>
        <v>48</v>
      </c>
      <c r="AG13" s="7">
        <f t="shared" si="6"/>
        <v>10</v>
      </c>
      <c r="AH13" s="7">
        <f t="shared" si="7"/>
        <v>2</v>
      </c>
      <c r="AI13" s="7">
        <f t="shared" si="8"/>
        <v>480</v>
      </c>
      <c r="AJ13" s="7">
        <f t="shared" si="9"/>
        <v>960</v>
      </c>
      <c r="AK13" s="12">
        <f t="shared" si="10"/>
        <v>0.31015384615384617</v>
      </c>
    </row>
    <row r="14" spans="1:37">
      <c r="A14" s="7" t="s">
        <v>64</v>
      </c>
      <c r="B14" s="7">
        <f>COUNTIF('[1]Raw data'!$A$3:$A$211,C14)</f>
        <v>1</v>
      </c>
      <c r="C14" s="7" t="str">
        <f t="shared" si="0"/>
        <v>MEMORY DEVICE_14X18_4_P3065KMH24B3_NA</v>
      </c>
      <c r="D14" s="7" t="s">
        <v>64</v>
      </c>
      <c r="E14" s="7" t="s">
        <v>253</v>
      </c>
      <c r="F14" s="7">
        <f t="shared" si="1"/>
        <v>4</v>
      </c>
      <c r="G14" s="7" t="s">
        <v>278</v>
      </c>
      <c r="H14" s="7" t="s">
        <v>280</v>
      </c>
      <c r="J14" s="7" t="str">
        <f>VLOOKUP(M14,[2]Plan_82!$C$5:$L$420,9,0)</f>
        <v>24nm 64Gb D2H</v>
      </c>
      <c r="K14" s="7">
        <f>VLOOKUP(M14,[2]Plan_82!$C$5:$H$420,5,0)</f>
        <v>0</v>
      </c>
      <c r="L14" s="7" t="s">
        <v>39</v>
      </c>
      <c r="M14" s="7" t="s">
        <v>71</v>
      </c>
      <c r="N14" s="7" t="str">
        <f t="shared" si="2"/>
        <v>54-82-05105-032G</v>
      </c>
      <c r="O14" s="7" t="s">
        <v>72</v>
      </c>
      <c r="P14" s="7" t="s">
        <v>73</v>
      </c>
      <c r="Q14" s="7" t="s">
        <v>76</v>
      </c>
      <c r="R14" s="7" t="s">
        <v>69</v>
      </c>
      <c r="S14" s="7" t="s">
        <v>75</v>
      </c>
      <c r="T14" s="7">
        <v>4</v>
      </c>
      <c r="U14" s="9">
        <v>210511</v>
      </c>
      <c r="V14" s="7">
        <f t="shared" si="3"/>
        <v>842044</v>
      </c>
      <c r="W14" s="13">
        <f>LOOKUP(2,1/([1]UPH!$A$3:$A$211=C14),[1]UPH!$CJ$3:$CJ$211)</f>
        <v>2405</v>
      </c>
      <c r="X14" s="13">
        <f>LOOKUP(2,1/([1]UPH!$A$3:$A$211=C14),[1]UPH!$CK$3:$CK$211)</f>
        <v>942.50000000000011</v>
      </c>
      <c r="Y14" s="13">
        <f>LOOKUP(2,1/([1]UPH!$A$3:$A$211=C14),[1]UPH!$CL$3:$CL$211)</f>
        <v>487.5</v>
      </c>
      <c r="Z14" s="13">
        <f>LOOKUP(2,1/([1]UPH!$A$3:$A$211=C14),[1]UPH!$CM$3:$CM$211)</f>
        <v>400</v>
      </c>
      <c r="AA14" s="13">
        <f>LOOKUP(2,1/([1]UPH!$A$3:$A$211=C14),[1]UPH!$CN$3:$CN$211)</f>
        <v>80</v>
      </c>
      <c r="AB14" s="13">
        <f>LOOKUP(2,1/([1]UPH!$A$3:$A$211=C14),[1]UPH!$CO$3:$CO$211)</f>
        <v>8121.6</v>
      </c>
      <c r="AC14" s="25">
        <f>VLOOKUP(G14,[1]Tech!$B$2:$E$22,4,0)</f>
        <v>260</v>
      </c>
      <c r="AD14" s="23">
        <f t="shared" si="11"/>
        <v>1625</v>
      </c>
      <c r="AE14" s="24">
        <f t="shared" si="12"/>
        <v>129.54523076923076</v>
      </c>
      <c r="AF14" s="7">
        <f>VLOOKUP(E14,'[1]Lot size'!$C$2:$E$20,3,0)</f>
        <v>48</v>
      </c>
      <c r="AG14" s="7">
        <f t="shared" si="6"/>
        <v>10</v>
      </c>
      <c r="AH14" s="7">
        <f t="shared" si="7"/>
        <v>2</v>
      </c>
      <c r="AI14" s="7">
        <f t="shared" si="8"/>
        <v>480</v>
      </c>
      <c r="AJ14" s="7">
        <f t="shared" si="9"/>
        <v>960</v>
      </c>
      <c r="AK14" s="12">
        <f t="shared" si="10"/>
        <v>259.09046153846151</v>
      </c>
    </row>
    <row r="15" spans="1:37">
      <c r="A15" s="7" t="s">
        <v>64</v>
      </c>
      <c r="B15" s="7">
        <f>COUNTIF('[1]Raw data'!$A$3:$A$211,C15)</f>
        <v>1</v>
      </c>
      <c r="C15" s="7" t="str">
        <f t="shared" si="0"/>
        <v>MEMORY DEVICE_14X18_4_P3065KMH24B3_NA</v>
      </c>
      <c r="D15" s="7" t="s">
        <v>64</v>
      </c>
      <c r="E15" s="7" t="s">
        <v>253</v>
      </c>
      <c r="F15" s="7">
        <f t="shared" si="1"/>
        <v>4</v>
      </c>
      <c r="G15" s="7" t="s">
        <v>278</v>
      </c>
      <c r="H15" s="7" t="s">
        <v>280</v>
      </c>
      <c r="J15" s="7" t="str">
        <f>VLOOKUP(M15,[2]Plan_82!$C$5:$L$420,9,0)</f>
        <v>24nm 64Gb D2H</v>
      </c>
      <c r="K15" s="7">
        <f>VLOOKUP(M15,[2]Plan_82!$C$5:$H$420,5,0)</f>
        <v>0</v>
      </c>
      <c r="L15" s="7" t="s">
        <v>39</v>
      </c>
      <c r="M15" s="7" t="s">
        <v>71</v>
      </c>
      <c r="N15" s="7" t="str">
        <f t="shared" si="2"/>
        <v>54-82-05105-032G</v>
      </c>
      <c r="O15" s="7" t="s">
        <v>72</v>
      </c>
      <c r="P15" s="7" t="s">
        <v>73</v>
      </c>
      <c r="Q15" s="7" t="s">
        <v>77</v>
      </c>
      <c r="R15" s="7" t="s">
        <v>69</v>
      </c>
      <c r="S15" s="7" t="s">
        <v>75</v>
      </c>
      <c r="T15" s="7">
        <v>4</v>
      </c>
      <c r="U15" s="9">
        <v>191462</v>
      </c>
      <c r="V15" s="7">
        <f t="shared" si="3"/>
        <v>765848</v>
      </c>
      <c r="W15" s="13">
        <f>LOOKUP(2,1/([1]UPH!$A$3:$A$211=C15),[1]UPH!$CJ$3:$CJ$211)</f>
        <v>2405</v>
      </c>
      <c r="X15" s="13">
        <f>LOOKUP(2,1/([1]UPH!$A$3:$A$211=C15),[1]UPH!$CK$3:$CK$211)</f>
        <v>942.50000000000011</v>
      </c>
      <c r="Y15" s="13">
        <f>LOOKUP(2,1/([1]UPH!$A$3:$A$211=C15),[1]UPH!$CL$3:$CL$211)</f>
        <v>487.5</v>
      </c>
      <c r="Z15" s="13">
        <f>LOOKUP(2,1/([1]UPH!$A$3:$A$211=C15),[1]UPH!$CM$3:$CM$211)</f>
        <v>400</v>
      </c>
      <c r="AA15" s="13">
        <f>LOOKUP(2,1/([1]UPH!$A$3:$A$211=C15),[1]UPH!$CN$3:$CN$211)</f>
        <v>80</v>
      </c>
      <c r="AB15" s="13">
        <f>LOOKUP(2,1/([1]UPH!$A$3:$A$211=C15),[1]UPH!$CO$3:$CO$211)</f>
        <v>8121.6</v>
      </c>
      <c r="AC15" s="25">
        <f>VLOOKUP(G15,[1]Tech!$B$2:$E$22,4,0)</f>
        <v>260</v>
      </c>
      <c r="AD15" s="23">
        <f t="shared" ref="AD15:AD61" si="13">AC15*25/T15</f>
        <v>1625</v>
      </c>
      <c r="AE15" s="24">
        <f t="shared" ref="AE15:AE61" si="14">U15/AD15</f>
        <v>117.82276923076923</v>
      </c>
      <c r="AF15" s="7">
        <f>VLOOKUP(E15,'[1]Lot size'!$C$2:$E$20,3,0)</f>
        <v>48</v>
      </c>
      <c r="AG15" s="7">
        <f t="shared" si="6"/>
        <v>10</v>
      </c>
      <c r="AH15" s="7">
        <f t="shared" si="7"/>
        <v>2</v>
      </c>
      <c r="AI15" s="7">
        <f t="shared" si="8"/>
        <v>480</v>
      </c>
      <c r="AJ15" s="7">
        <f t="shared" si="9"/>
        <v>960</v>
      </c>
      <c r="AK15" s="12">
        <f t="shared" si="10"/>
        <v>235.64553846153845</v>
      </c>
    </row>
    <row r="16" spans="1:37">
      <c r="A16" s="7" t="s">
        <v>78</v>
      </c>
      <c r="B16" s="7">
        <f>COUNTIF('[1]Raw data'!$A$3:$A$211,C16)</f>
        <v>1</v>
      </c>
      <c r="C16" s="7" t="str">
        <f t="shared" si="0"/>
        <v>MICROSD_11X15_1_P3008KMA32B3_PHNXX1UX3P09A</v>
      </c>
      <c r="D16" s="7" t="s">
        <v>78</v>
      </c>
      <c r="E16" s="7" t="s">
        <v>255</v>
      </c>
      <c r="F16" s="7">
        <f t="shared" si="1"/>
        <v>1</v>
      </c>
      <c r="G16" s="7" t="s">
        <v>281</v>
      </c>
      <c r="H16" s="7" t="s">
        <v>282</v>
      </c>
      <c r="J16" s="7" t="str">
        <f>VLOOKUP(M16,[2]Plan_82!$C$5:$L$420,9,0)</f>
        <v>32nm 8Gb D2</v>
      </c>
      <c r="K16" s="7" t="str">
        <f>VLOOKUP(M16,[2]Plan_82!$C$5:$H$420,5,0)</f>
        <v>20-81-00250</v>
      </c>
      <c r="L16" s="7" t="s">
        <v>79</v>
      </c>
      <c r="M16" s="7" t="s">
        <v>80</v>
      </c>
      <c r="N16" s="7" t="str">
        <f t="shared" si="2"/>
        <v>54-82-05628-001G</v>
      </c>
      <c r="O16" s="7" t="s">
        <v>254</v>
      </c>
      <c r="P16" s="7" t="s">
        <v>82</v>
      </c>
      <c r="Q16" s="7" t="s">
        <v>83</v>
      </c>
      <c r="R16" s="7" t="s">
        <v>84</v>
      </c>
      <c r="S16" s="7" t="s">
        <v>85</v>
      </c>
      <c r="T16" s="7">
        <v>1</v>
      </c>
      <c r="U16" s="9">
        <v>30945</v>
      </c>
      <c r="V16" s="7">
        <f t="shared" si="3"/>
        <v>30945</v>
      </c>
      <c r="W16" s="13">
        <f>LOOKUP(2,1/([1]UPH!$A$3:$A$211=C16),[1]UPH!$CJ$3:$CJ$211)</f>
        <v>55555.555555555555</v>
      </c>
      <c r="X16" s="13">
        <f>LOOKUP(2,1/([1]UPH!$A$3:$A$211=C16),[1]UPH!$CK$3:$CK$211)</f>
        <v>25555.555555555558</v>
      </c>
      <c r="Y16" s="13">
        <f>LOOKUP(2,1/([1]UPH!$A$3:$A$211=C16),[1]UPH!$CL$3:$CL$211)</f>
        <v>5547.1698113207549</v>
      </c>
      <c r="Z16" s="13">
        <f>LOOKUP(2,1/([1]UPH!$A$3:$A$211=C16),[1]UPH!$CM$3:$CM$211)</f>
        <v>944.18604651162798</v>
      </c>
      <c r="AA16" s="13">
        <f>LOOKUP(2,1/([1]UPH!$A$3:$A$211=C16),[1]UPH!$CN$3:$CN$211)</f>
        <v>419.99999999999994</v>
      </c>
      <c r="AB16" s="13">
        <f>LOOKUP(2,1/([1]UPH!$A$3:$A$211=C16),[1]UPH!$CO$3:$CO$211)</f>
        <v>13536</v>
      </c>
      <c r="AC16" s="25">
        <f>VLOOKUP(G16,[1]Tech!$B$2:$E$22,4,0)</f>
        <v>1200</v>
      </c>
      <c r="AD16" s="23">
        <f t="shared" si="13"/>
        <v>30000</v>
      </c>
      <c r="AE16" s="24">
        <f t="shared" si="14"/>
        <v>1.0315000000000001</v>
      </c>
      <c r="AF16" s="7">
        <f>VLOOKUP(E16,'[1]Lot size'!$C$2:$E$20,3,0)</f>
        <v>80</v>
      </c>
      <c r="AG16" s="7">
        <f t="shared" si="6"/>
        <v>20</v>
      </c>
      <c r="AH16" s="7">
        <f t="shared" si="7"/>
        <v>4</v>
      </c>
      <c r="AI16" s="7">
        <f t="shared" si="8"/>
        <v>1600</v>
      </c>
      <c r="AJ16" s="7">
        <f t="shared" si="9"/>
        <v>6400</v>
      </c>
      <c r="AK16" s="12">
        <f t="shared" si="10"/>
        <v>5.1575000000000006</v>
      </c>
    </row>
    <row r="17" spans="1:37">
      <c r="A17" s="7" t="s">
        <v>78</v>
      </c>
      <c r="B17" s="7">
        <f>COUNTIF('[1]Raw data'!$A$3:$A$211,C17)</f>
        <v>1</v>
      </c>
      <c r="C17" s="7" t="str">
        <f t="shared" si="0"/>
        <v>MICROSD_11X15_1_P3008KMA32B3_PHNXX1UX3P09A</v>
      </c>
      <c r="D17" s="7" t="s">
        <v>78</v>
      </c>
      <c r="E17" s="7" t="s">
        <v>255</v>
      </c>
      <c r="F17" s="7">
        <f t="shared" si="1"/>
        <v>1</v>
      </c>
      <c r="G17" s="7" t="s">
        <v>281</v>
      </c>
      <c r="H17" s="7" t="s">
        <v>282</v>
      </c>
      <c r="J17" s="7" t="str">
        <f>VLOOKUP(M17,[2]Plan_82!$C$5:$L$420,9,0)</f>
        <v>32nm 8Gb D2</v>
      </c>
      <c r="K17" s="7" t="str">
        <f>VLOOKUP(M17,[2]Plan_82!$C$5:$H$420,5,0)</f>
        <v>20-81-00250</v>
      </c>
      <c r="L17" s="7" t="s">
        <v>79</v>
      </c>
      <c r="M17" s="7" t="s">
        <v>86</v>
      </c>
      <c r="N17" s="7" t="str">
        <f t="shared" si="2"/>
        <v>54-82-05630-001G</v>
      </c>
      <c r="O17" s="7" t="s">
        <v>81</v>
      </c>
      <c r="P17" s="7" t="s">
        <v>82</v>
      </c>
      <c r="Q17" s="7" t="s">
        <v>83</v>
      </c>
      <c r="R17" s="7" t="s">
        <v>84</v>
      </c>
      <c r="S17" s="7" t="s">
        <v>85</v>
      </c>
      <c r="T17" s="7">
        <v>1</v>
      </c>
      <c r="U17" s="9">
        <f>170645+50000</f>
        <v>220645</v>
      </c>
      <c r="V17" s="7">
        <f t="shared" si="3"/>
        <v>220645</v>
      </c>
      <c r="W17" s="13">
        <f>LOOKUP(2,1/([1]UPH!$A$3:$A$211=C17),[1]UPH!$CJ$3:$CJ$211)</f>
        <v>55555.555555555555</v>
      </c>
      <c r="X17" s="13">
        <f>LOOKUP(2,1/([1]UPH!$A$3:$A$211=C17),[1]UPH!$CK$3:$CK$211)</f>
        <v>25555.555555555558</v>
      </c>
      <c r="Y17" s="13">
        <f>LOOKUP(2,1/([1]UPH!$A$3:$A$211=C17),[1]UPH!$CL$3:$CL$211)</f>
        <v>5547.1698113207549</v>
      </c>
      <c r="Z17" s="13">
        <f>LOOKUP(2,1/([1]UPH!$A$3:$A$211=C17),[1]UPH!$CM$3:$CM$211)</f>
        <v>944.18604651162798</v>
      </c>
      <c r="AA17" s="13">
        <f>LOOKUP(2,1/([1]UPH!$A$3:$A$211=C17),[1]UPH!$CN$3:$CN$211)</f>
        <v>419.99999999999994</v>
      </c>
      <c r="AB17" s="13">
        <f>LOOKUP(2,1/([1]UPH!$A$3:$A$211=C17),[1]UPH!$CO$3:$CO$211)</f>
        <v>13536</v>
      </c>
      <c r="AC17" s="25">
        <f>VLOOKUP(G17,[1]Tech!$B$2:$E$22,4,0)</f>
        <v>1200</v>
      </c>
      <c r="AD17" s="23">
        <f t="shared" si="13"/>
        <v>30000</v>
      </c>
      <c r="AE17" s="24">
        <f t="shared" si="14"/>
        <v>7.3548333333333336</v>
      </c>
      <c r="AF17" s="7">
        <f>VLOOKUP(E17,'[1]Lot size'!$C$2:$E$20,3,0)</f>
        <v>80</v>
      </c>
      <c r="AG17" s="7">
        <f t="shared" si="6"/>
        <v>20</v>
      </c>
      <c r="AH17" s="7">
        <f t="shared" si="7"/>
        <v>4</v>
      </c>
      <c r="AI17" s="7">
        <f t="shared" si="8"/>
        <v>1600</v>
      </c>
      <c r="AJ17" s="7">
        <f t="shared" si="9"/>
        <v>6400</v>
      </c>
      <c r="AK17" s="12">
        <f t="shared" si="10"/>
        <v>36.774166666666666</v>
      </c>
    </row>
    <row r="18" spans="1:37">
      <c r="A18" s="7" t="s">
        <v>78</v>
      </c>
      <c r="B18" s="7">
        <f>COUNTIF('[1]Raw data'!$A$3:$A$211,C18)</f>
        <v>1</v>
      </c>
      <c r="C18" s="7" t="str">
        <f t="shared" si="0"/>
        <v>MICROSD_11X15_1_P3008KMA32B3_PHNXX1UX3P09A</v>
      </c>
      <c r="D18" s="7" t="s">
        <v>78</v>
      </c>
      <c r="E18" s="7" t="s">
        <v>255</v>
      </c>
      <c r="F18" s="7">
        <f t="shared" si="1"/>
        <v>1</v>
      </c>
      <c r="G18" s="7" t="s">
        <v>281</v>
      </c>
      <c r="H18" s="7" t="s">
        <v>282</v>
      </c>
      <c r="J18" s="7" t="str">
        <f>VLOOKUP(M18,[2]Plan_82!$C$5:$L$420,9,0)</f>
        <v>32nm 8Gb D2</v>
      </c>
      <c r="K18" s="7" t="str">
        <f>VLOOKUP(M18,[2]Plan_82!$C$5:$H$420,5,0)</f>
        <v>20-81-00250</v>
      </c>
      <c r="L18" s="7" t="s">
        <v>79</v>
      </c>
      <c r="M18" s="7" t="s">
        <v>87</v>
      </c>
      <c r="N18" s="7" t="str">
        <f t="shared" si="2"/>
        <v>54-82-06683-001G</v>
      </c>
      <c r="O18" s="7" t="s">
        <v>81</v>
      </c>
      <c r="P18" s="7" t="s">
        <v>88</v>
      </c>
      <c r="Q18" s="7" t="s">
        <v>89</v>
      </c>
      <c r="R18" s="7" t="s">
        <v>84</v>
      </c>
      <c r="S18" s="7" t="s">
        <v>85</v>
      </c>
      <c r="T18" s="7">
        <v>1</v>
      </c>
      <c r="U18" s="9">
        <v>301057</v>
      </c>
      <c r="V18" s="7">
        <f t="shared" si="3"/>
        <v>301057</v>
      </c>
      <c r="W18" s="13">
        <f>LOOKUP(2,1/([1]UPH!$A$3:$A$211=C18),[1]UPH!$CJ$3:$CJ$211)</f>
        <v>55555.555555555555</v>
      </c>
      <c r="X18" s="13">
        <f>LOOKUP(2,1/([1]UPH!$A$3:$A$211=C18),[1]UPH!$CK$3:$CK$211)</f>
        <v>25555.555555555558</v>
      </c>
      <c r="Y18" s="13">
        <f>LOOKUP(2,1/([1]UPH!$A$3:$A$211=C18),[1]UPH!$CL$3:$CL$211)</f>
        <v>5547.1698113207549</v>
      </c>
      <c r="Z18" s="13">
        <f>LOOKUP(2,1/([1]UPH!$A$3:$A$211=C18),[1]UPH!$CM$3:$CM$211)</f>
        <v>944.18604651162798</v>
      </c>
      <c r="AA18" s="13">
        <f>LOOKUP(2,1/([1]UPH!$A$3:$A$211=C18),[1]UPH!$CN$3:$CN$211)</f>
        <v>419.99999999999994</v>
      </c>
      <c r="AB18" s="13">
        <f>LOOKUP(2,1/([1]UPH!$A$3:$A$211=C18),[1]UPH!$CO$3:$CO$211)</f>
        <v>13536</v>
      </c>
      <c r="AC18" s="25">
        <f>VLOOKUP(G18,[1]Tech!$B$2:$E$22,4,0)</f>
        <v>1200</v>
      </c>
      <c r="AD18" s="23">
        <f t="shared" si="13"/>
        <v>30000</v>
      </c>
      <c r="AE18" s="24">
        <f t="shared" si="14"/>
        <v>10.035233333333334</v>
      </c>
      <c r="AF18" s="7">
        <f>VLOOKUP(E18,'[1]Lot size'!$C$2:$E$20,3,0)</f>
        <v>80</v>
      </c>
      <c r="AG18" s="7">
        <f t="shared" si="6"/>
        <v>20</v>
      </c>
      <c r="AH18" s="7">
        <f t="shared" si="7"/>
        <v>4</v>
      </c>
      <c r="AI18" s="7">
        <f t="shared" si="8"/>
        <v>1600</v>
      </c>
      <c r="AJ18" s="7">
        <f t="shared" si="9"/>
        <v>6400</v>
      </c>
      <c r="AK18" s="12">
        <f t="shared" si="10"/>
        <v>50.176166666666674</v>
      </c>
    </row>
    <row r="19" spans="1:37">
      <c r="A19" s="7" t="s">
        <v>78</v>
      </c>
      <c r="B19" s="7">
        <f>COUNTIF('[1]Raw data'!$A$3:$A$211,C19)</f>
        <v>1</v>
      </c>
      <c r="C19" s="7" t="str">
        <f t="shared" si="0"/>
        <v>MICROSD_11X15_1_P3008KMA32B3_PHNXX1UX3P09A</v>
      </c>
      <c r="D19" s="7" t="s">
        <v>78</v>
      </c>
      <c r="E19" s="7" t="s">
        <v>255</v>
      </c>
      <c r="F19" s="7">
        <f t="shared" si="1"/>
        <v>1</v>
      </c>
      <c r="G19" s="7" t="s">
        <v>281</v>
      </c>
      <c r="H19" s="7" t="s">
        <v>282</v>
      </c>
      <c r="J19" s="7" t="str">
        <f>VLOOKUP(M19,[2]Plan_82!$C$5:$L$420,9,0)</f>
        <v>32nm 8Gb D2</v>
      </c>
      <c r="K19" s="7" t="str">
        <f>VLOOKUP(M19,[2]Plan_82!$C$5:$H$420,5,0)</f>
        <v>20-81-00250</v>
      </c>
      <c r="L19" s="7" t="s">
        <v>79</v>
      </c>
      <c r="M19" s="7" t="s">
        <v>90</v>
      </c>
      <c r="N19" s="7" t="str">
        <f t="shared" si="2"/>
        <v>54-82-06684-001G</v>
      </c>
      <c r="O19" s="7" t="s">
        <v>81</v>
      </c>
      <c r="P19" s="7" t="s">
        <v>91</v>
      </c>
      <c r="Q19" s="7" t="s">
        <v>89</v>
      </c>
      <c r="R19" s="7" t="s">
        <v>84</v>
      </c>
      <c r="S19" s="7" t="s">
        <v>85</v>
      </c>
      <c r="T19" s="7">
        <v>1</v>
      </c>
      <c r="U19" s="9">
        <f>200941+100000</f>
        <v>300941</v>
      </c>
      <c r="V19" s="7">
        <f t="shared" si="3"/>
        <v>300941</v>
      </c>
      <c r="W19" s="13">
        <f>LOOKUP(2,1/([1]UPH!$A$3:$A$211=C19),[1]UPH!$CJ$3:$CJ$211)</f>
        <v>55555.555555555555</v>
      </c>
      <c r="X19" s="13">
        <f>LOOKUP(2,1/([1]UPH!$A$3:$A$211=C19),[1]UPH!$CK$3:$CK$211)</f>
        <v>25555.555555555558</v>
      </c>
      <c r="Y19" s="13">
        <f>LOOKUP(2,1/([1]UPH!$A$3:$A$211=C19),[1]UPH!$CL$3:$CL$211)</f>
        <v>5547.1698113207549</v>
      </c>
      <c r="Z19" s="13">
        <f>LOOKUP(2,1/([1]UPH!$A$3:$A$211=C19),[1]UPH!$CM$3:$CM$211)</f>
        <v>944.18604651162798</v>
      </c>
      <c r="AA19" s="13">
        <f>LOOKUP(2,1/([1]UPH!$A$3:$A$211=C19),[1]UPH!$CN$3:$CN$211)</f>
        <v>419.99999999999994</v>
      </c>
      <c r="AB19" s="13">
        <f>LOOKUP(2,1/([1]UPH!$A$3:$A$211=C19),[1]UPH!$CO$3:$CO$211)</f>
        <v>13536</v>
      </c>
      <c r="AC19" s="25">
        <f>VLOOKUP(G19,[1]Tech!$B$2:$E$22,4,0)</f>
        <v>1200</v>
      </c>
      <c r="AD19" s="23">
        <f t="shared" si="13"/>
        <v>30000</v>
      </c>
      <c r="AE19" s="24">
        <f t="shared" si="14"/>
        <v>10.031366666666667</v>
      </c>
      <c r="AF19" s="7">
        <f>VLOOKUP(E19,'[1]Lot size'!$C$2:$E$20,3,0)</f>
        <v>80</v>
      </c>
      <c r="AG19" s="7">
        <f t="shared" si="6"/>
        <v>20</v>
      </c>
      <c r="AH19" s="7">
        <f t="shared" si="7"/>
        <v>4</v>
      </c>
      <c r="AI19" s="7">
        <f t="shared" si="8"/>
        <v>1600</v>
      </c>
      <c r="AJ19" s="7">
        <f t="shared" si="9"/>
        <v>6400</v>
      </c>
      <c r="AK19" s="12">
        <f t="shared" si="10"/>
        <v>50.156833333333338</v>
      </c>
    </row>
    <row r="20" spans="1:37">
      <c r="A20" s="7" t="s">
        <v>78</v>
      </c>
      <c r="B20" s="7">
        <f>COUNTIF('[1]Raw data'!$A$3:$A$211,C20)</f>
        <v>1</v>
      </c>
      <c r="C20" s="7" t="str">
        <f t="shared" si="0"/>
        <v>MICROSD_11X15_2_P3065KED24B3_PHNXX2MH3P06A</v>
      </c>
      <c r="D20" s="7" t="s">
        <v>78</v>
      </c>
      <c r="E20" s="7" t="s">
        <v>255</v>
      </c>
      <c r="F20" s="7">
        <f t="shared" si="1"/>
        <v>2</v>
      </c>
      <c r="G20" s="7" t="s">
        <v>283</v>
      </c>
      <c r="H20" s="7" t="s">
        <v>275</v>
      </c>
      <c r="J20" s="7" t="e">
        <f>VLOOKUP(M20,[2]Plan_82!$D$5:$K$420,6,0)</f>
        <v>#N/A</v>
      </c>
      <c r="K20" s="7" t="e">
        <f>VLOOKUP(M20,[2]Plan_82!$C$5:$H$420,5,0)</f>
        <v>#N/A</v>
      </c>
      <c r="L20" s="7" t="s">
        <v>25</v>
      </c>
      <c r="M20" s="7" t="s">
        <v>267</v>
      </c>
      <c r="N20" s="7" t="str">
        <f t="shared" si="2"/>
        <v>54-82-08151-016G</v>
      </c>
      <c r="O20" s="7" t="s">
        <v>92</v>
      </c>
      <c r="P20" s="7" t="s">
        <v>93</v>
      </c>
      <c r="Q20" s="7" t="s">
        <v>94</v>
      </c>
      <c r="R20" s="7" t="s">
        <v>42</v>
      </c>
      <c r="S20" s="7" t="s">
        <v>95</v>
      </c>
      <c r="T20" s="7">
        <v>2</v>
      </c>
      <c r="U20" s="9">
        <v>37752</v>
      </c>
      <c r="V20" s="7">
        <f t="shared" si="3"/>
        <v>75504</v>
      </c>
      <c r="W20" s="13">
        <f>LOOKUP(2,1/([1]UPH!$A$3:$A$211=C20),[1]UPH!$CJ$3:$CJ$211)</f>
        <v>6175.0849574486629</v>
      </c>
      <c r="X20" s="13">
        <f>LOOKUP(2,1/([1]UPH!$A$3:$A$211=C20),[1]UPH!$CK$3:$CK$211)</f>
        <v>2433.1814730447986</v>
      </c>
      <c r="Y20" s="13">
        <f>LOOKUP(2,1/([1]UPH!$A$3:$A$211=C20),[1]UPH!$CL$3:$CL$211)</f>
        <v>1767.1389356238378</v>
      </c>
      <c r="Z20" s="13">
        <f>LOOKUP(2,1/([1]UPH!$A$3:$A$211=C20),[1]UPH!$CM$3:$CM$211)</f>
        <v>637.25490196078431</v>
      </c>
      <c r="AA20" s="13">
        <f>LOOKUP(2,1/([1]UPH!$A$3:$A$211=C20),[1]UPH!$CN$3:$CN$211)</f>
        <v>190</v>
      </c>
      <c r="AB20" s="13">
        <f>LOOKUP(2,1/([1]UPH!$A$3:$A$211=C20),[1]UPH!$CO$3:$CO$211)</f>
        <v>13536</v>
      </c>
      <c r="AC20" s="25">
        <f>VLOOKUP(G20,[1]Tech!$B$2:$E$22,4,0)</f>
        <v>340</v>
      </c>
      <c r="AD20" s="23">
        <f t="shared" si="13"/>
        <v>4250</v>
      </c>
      <c r="AE20" s="24">
        <f t="shared" si="14"/>
        <v>8.8828235294117643</v>
      </c>
      <c r="AF20" s="7">
        <f>VLOOKUP(E20,'[1]Lot size'!$C$2:$E$20,3,0)</f>
        <v>80</v>
      </c>
      <c r="AG20" s="7">
        <f t="shared" si="6"/>
        <v>20</v>
      </c>
      <c r="AH20" s="7">
        <f t="shared" si="7"/>
        <v>4</v>
      </c>
      <c r="AI20" s="7">
        <f t="shared" si="8"/>
        <v>1600</v>
      </c>
      <c r="AJ20" s="7">
        <f t="shared" si="9"/>
        <v>6400</v>
      </c>
      <c r="AK20" s="12">
        <f t="shared" si="10"/>
        <v>8.8828235294117643</v>
      </c>
    </row>
    <row r="21" spans="1:37">
      <c r="A21" s="7" t="s">
        <v>78</v>
      </c>
      <c r="B21" s="7">
        <f>COUNTIF('[1]Raw data'!$A$3:$A$211,C21)</f>
        <v>1</v>
      </c>
      <c r="C21" s="7" t="str">
        <f t="shared" si="0"/>
        <v>MICROSD_11X15_2_P3065KED24B3_PHNXX2MH3P06A</v>
      </c>
      <c r="D21" s="7" t="s">
        <v>78</v>
      </c>
      <c r="E21" s="7" t="s">
        <v>255</v>
      </c>
      <c r="F21" s="7">
        <f t="shared" si="1"/>
        <v>2</v>
      </c>
      <c r="G21" s="7" t="s">
        <v>283</v>
      </c>
      <c r="H21" s="7" t="s">
        <v>275</v>
      </c>
      <c r="J21" s="7" t="str">
        <f>VLOOKUP(M21,[2]Plan_82!$C$5:$L$420,9,0)</f>
        <v>24nm 64Gb EX3</v>
      </c>
      <c r="K21" s="7" t="str">
        <f>VLOOKUP(M21,[2]Plan_82!$C$5:$H$420,5,0)</f>
        <v>20-81-00303</v>
      </c>
      <c r="L21" s="7" t="s">
        <v>25</v>
      </c>
      <c r="M21" s="7" t="s">
        <v>96</v>
      </c>
      <c r="N21" s="7" t="str">
        <f t="shared" si="2"/>
        <v>54-82-08651-016G</v>
      </c>
      <c r="O21" s="7" t="s">
        <v>92</v>
      </c>
      <c r="P21" s="7" t="s">
        <v>97</v>
      </c>
      <c r="Q21" s="7" t="s">
        <v>98</v>
      </c>
      <c r="R21" s="7" t="s">
        <v>99</v>
      </c>
      <c r="S21" s="7" t="s">
        <v>95</v>
      </c>
      <c r="T21" s="7">
        <v>2</v>
      </c>
      <c r="U21" s="9">
        <v>35606</v>
      </c>
      <c r="V21" s="7">
        <f t="shared" si="3"/>
        <v>71212</v>
      </c>
      <c r="W21" s="13">
        <f>LOOKUP(2,1/([1]UPH!$A$3:$A$211=C21),[1]UPH!$CJ$3:$CJ$211)</f>
        <v>6175.0849574486629</v>
      </c>
      <c r="X21" s="13">
        <f>LOOKUP(2,1/([1]UPH!$A$3:$A$211=C21),[1]UPH!$CK$3:$CK$211)</f>
        <v>2433.1814730447986</v>
      </c>
      <c r="Y21" s="13">
        <f>LOOKUP(2,1/([1]UPH!$A$3:$A$211=C21),[1]UPH!$CL$3:$CL$211)</f>
        <v>1767.1389356238378</v>
      </c>
      <c r="Z21" s="13">
        <f>LOOKUP(2,1/([1]UPH!$A$3:$A$211=C21),[1]UPH!$CM$3:$CM$211)</f>
        <v>637.25490196078431</v>
      </c>
      <c r="AA21" s="13">
        <f>LOOKUP(2,1/([1]UPH!$A$3:$A$211=C21),[1]UPH!$CN$3:$CN$211)</f>
        <v>190</v>
      </c>
      <c r="AB21" s="13">
        <f>LOOKUP(2,1/([1]UPH!$A$3:$A$211=C21),[1]UPH!$CO$3:$CO$211)</f>
        <v>13536</v>
      </c>
      <c r="AC21" s="25">
        <f>VLOOKUP(G21,[1]Tech!$B$2:$E$22,4,0)</f>
        <v>340</v>
      </c>
      <c r="AD21" s="23">
        <f t="shared" si="13"/>
        <v>4250</v>
      </c>
      <c r="AE21" s="24">
        <f t="shared" si="14"/>
        <v>8.3778823529411763</v>
      </c>
      <c r="AF21" s="7">
        <f>VLOOKUP(E21,'[1]Lot size'!$C$2:$E$20,3,0)</f>
        <v>80</v>
      </c>
      <c r="AG21" s="7">
        <f t="shared" si="6"/>
        <v>20</v>
      </c>
      <c r="AH21" s="7">
        <f t="shared" si="7"/>
        <v>4</v>
      </c>
      <c r="AI21" s="7">
        <f t="shared" si="8"/>
        <v>1600</v>
      </c>
      <c r="AJ21" s="7">
        <f t="shared" si="9"/>
        <v>6400</v>
      </c>
      <c r="AK21" s="12">
        <f t="shared" si="10"/>
        <v>8.3778823529411763</v>
      </c>
    </row>
    <row r="22" spans="1:37">
      <c r="A22" s="7" t="s">
        <v>78</v>
      </c>
      <c r="B22" s="7">
        <f>COUNTIF('[1]Raw data'!$A$3:$A$211,C22)</f>
        <v>1</v>
      </c>
      <c r="C22" s="7" t="str">
        <f t="shared" si="0"/>
        <v>MICROSD_11X15_4_P3032KED32B3_PHNXX2UX3P09B</v>
      </c>
      <c r="D22" s="7" t="s">
        <v>78</v>
      </c>
      <c r="E22" s="7" t="s">
        <v>255</v>
      </c>
      <c r="F22" s="7">
        <f t="shared" si="1"/>
        <v>4</v>
      </c>
      <c r="G22" s="7" t="s">
        <v>284</v>
      </c>
      <c r="H22" s="7" t="s">
        <v>276</v>
      </c>
      <c r="J22" s="7" t="str">
        <f>VLOOKUP(M22,[2]Plan_82!$C$5:$L$420,9,0)</f>
        <v>32nm 32Gb EX3</v>
      </c>
      <c r="K22" s="7" t="str">
        <f>VLOOKUP(M22,[2]Plan_82!$C$5:$H$420,5,0)</f>
        <v>20-81-00251</v>
      </c>
      <c r="L22" s="7" t="s">
        <v>25</v>
      </c>
      <c r="M22" s="7" t="s">
        <v>100</v>
      </c>
      <c r="N22" s="7" t="str">
        <f t="shared" si="2"/>
        <v>54-82-05873-016G</v>
      </c>
      <c r="O22" s="7" t="s">
        <v>101</v>
      </c>
      <c r="P22" s="7" t="s">
        <v>102</v>
      </c>
      <c r="Q22" s="7" t="s">
        <v>27</v>
      </c>
      <c r="R22" s="7" t="s">
        <v>28</v>
      </c>
      <c r="S22" s="7" t="s">
        <v>103</v>
      </c>
      <c r="T22" s="7">
        <v>4</v>
      </c>
      <c r="U22" s="9">
        <v>360928</v>
      </c>
      <c r="V22" s="7">
        <f t="shared" si="3"/>
        <v>1443712</v>
      </c>
      <c r="W22" s="13">
        <f>LOOKUP(2,1/([1]UPH!$A$3:$A$211=C22),[1]UPH!$CJ$3:$CJ$211)</f>
        <v>3089.1089108910892</v>
      </c>
      <c r="X22" s="13">
        <f>LOOKUP(2,1/([1]UPH!$A$3:$A$211=C22),[1]UPH!$CK$3:$CK$211)</f>
        <v>1722.772277227723</v>
      </c>
      <c r="Y22" s="13">
        <f>LOOKUP(2,1/([1]UPH!$A$3:$A$211=C22),[1]UPH!$CL$3:$CL$211)</f>
        <v>693.57798165137615</v>
      </c>
      <c r="Z22" s="13">
        <f>LOOKUP(2,1/([1]UPH!$A$3:$A$211=C22),[1]UPH!$CM$3:$CM$211)</f>
        <v>243.75</v>
      </c>
      <c r="AA22" s="13">
        <f>LOOKUP(2,1/([1]UPH!$A$3:$A$211=C22),[1]UPH!$CN$3:$CN$211)</f>
        <v>68.253968253968253</v>
      </c>
      <c r="AB22" s="13">
        <f>LOOKUP(2,1/([1]UPH!$A$3:$A$211=C22),[1]UPH!$CO$3:$CO$211)</f>
        <v>13536</v>
      </c>
      <c r="AC22" s="25">
        <f>VLOOKUP(G22,[1]Tech!$B$2:$E$22,4,0)</f>
        <v>480</v>
      </c>
      <c r="AD22" s="23">
        <f t="shared" si="13"/>
        <v>3000</v>
      </c>
      <c r="AE22" s="24">
        <f t="shared" si="14"/>
        <v>120.30933333333333</v>
      </c>
      <c r="AF22" s="7">
        <f>VLOOKUP(E22,'[1]Lot size'!$C$2:$E$20,3,0)</f>
        <v>80</v>
      </c>
      <c r="AG22" s="7">
        <f t="shared" si="6"/>
        <v>10</v>
      </c>
      <c r="AH22" s="7">
        <f t="shared" si="7"/>
        <v>2</v>
      </c>
      <c r="AI22" s="7">
        <f t="shared" si="8"/>
        <v>800</v>
      </c>
      <c r="AJ22" s="7">
        <f t="shared" si="9"/>
        <v>1600</v>
      </c>
      <c r="AK22" s="12">
        <f t="shared" si="10"/>
        <v>240.61866666666666</v>
      </c>
    </row>
    <row r="23" spans="1:37">
      <c r="A23" s="7" t="s">
        <v>78</v>
      </c>
      <c r="B23" s="7">
        <f>COUNTIF('[1]Raw data'!$A$3:$A$211,C23)</f>
        <v>1</v>
      </c>
      <c r="C23" s="7" t="str">
        <f t="shared" si="0"/>
        <v>MICROSD_11X15_1_P3016KMD43B3_PHNXX1UX3P09A</v>
      </c>
      <c r="D23" s="7" t="s">
        <v>78</v>
      </c>
      <c r="E23" s="7" t="s">
        <v>255</v>
      </c>
      <c r="F23" s="7">
        <f t="shared" si="1"/>
        <v>1</v>
      </c>
      <c r="G23" s="7" t="s">
        <v>272</v>
      </c>
      <c r="H23" s="7" t="s">
        <v>282</v>
      </c>
      <c r="J23" s="7" t="e">
        <f>VLOOKUP(M23,[2]Plan_82!$D$5:$K$420,6,0)</f>
        <v>#N/A</v>
      </c>
      <c r="K23" s="7" t="e">
        <f>VLOOKUP(M23,[2]Plan_82!$C$5:$H$420,5,0)</f>
        <v>#N/A</v>
      </c>
      <c r="L23" s="7" t="s">
        <v>18</v>
      </c>
      <c r="M23" s="7" t="s">
        <v>268</v>
      </c>
      <c r="N23" s="7" t="str">
        <f t="shared" si="2"/>
        <v>54-82-04295-002G</v>
      </c>
      <c r="O23" s="7" t="s">
        <v>81</v>
      </c>
      <c r="P23" s="7" t="s">
        <v>104</v>
      </c>
      <c r="Q23" s="7" t="s">
        <v>105</v>
      </c>
      <c r="R23" s="7" t="s">
        <v>84</v>
      </c>
      <c r="S23" s="7" t="s">
        <v>106</v>
      </c>
      <c r="T23" s="7">
        <v>1</v>
      </c>
      <c r="U23" s="9">
        <v>312360</v>
      </c>
      <c r="V23" s="7">
        <f t="shared" si="3"/>
        <v>312360</v>
      </c>
      <c r="W23" s="13">
        <f>LOOKUP(2,1/([1]UPH!$A$3:$A$211=C23),[1]UPH!$CJ$3:$CJ$211)</f>
        <v>24813.925570228093</v>
      </c>
      <c r="X23" s="13">
        <f>LOOKUP(2,1/([1]UPH!$A$3:$A$211=C23),[1]UPH!$CK$3:$CK$211)</f>
        <v>11543.058034742478</v>
      </c>
      <c r="Y23" s="13">
        <f>LOOKUP(2,1/([1]UPH!$A$3:$A$211=C23),[1]UPH!$CL$3:$CL$211)</f>
        <v>4140.76829901367</v>
      </c>
      <c r="Z23" s="13">
        <f>LOOKUP(2,1/([1]UPH!$A$3:$A$211=C23),[1]UPH!$CM$3:$CM$211)</f>
        <v>897.61904761904771</v>
      </c>
      <c r="AA23" s="13">
        <f>LOOKUP(2,1/([1]UPH!$A$3:$A$211=C23),[1]UPH!$CN$3:$CN$211)</f>
        <v>230</v>
      </c>
      <c r="AB23" s="13">
        <f>LOOKUP(2,1/([1]UPH!$A$3:$A$211=C23),[1]UPH!$CO$3:$CO$211)</f>
        <v>13536</v>
      </c>
      <c r="AC23" s="25">
        <f>VLOOKUP(G23,[1]Tech!$B$2:$E$22,4,0)</f>
        <v>530</v>
      </c>
      <c r="AD23" s="23">
        <f t="shared" si="13"/>
        <v>13250</v>
      </c>
      <c r="AE23" s="24">
        <f t="shared" si="14"/>
        <v>23.57433962264151</v>
      </c>
      <c r="AF23" s="7">
        <f>VLOOKUP(E23,'[1]Lot size'!$C$2:$E$20,3,0)</f>
        <v>80</v>
      </c>
      <c r="AG23" s="7">
        <f t="shared" si="6"/>
        <v>20</v>
      </c>
      <c r="AH23" s="7">
        <f t="shared" si="7"/>
        <v>4</v>
      </c>
      <c r="AI23" s="7">
        <f t="shared" si="8"/>
        <v>1600</v>
      </c>
      <c r="AJ23" s="7">
        <f t="shared" si="9"/>
        <v>6400</v>
      </c>
      <c r="AK23" s="12">
        <f t="shared" si="10"/>
        <v>70.723018867924537</v>
      </c>
    </row>
    <row r="24" spans="1:37">
      <c r="A24" s="7" t="s">
        <v>78</v>
      </c>
      <c r="B24" s="7">
        <f>COUNTIF('[1]Raw data'!$A$3:$A$211,C24)</f>
        <v>1</v>
      </c>
      <c r="C24" s="7" t="str">
        <f>D24&amp;"_"&amp;E24&amp;"_"&amp;F24&amp;"_"&amp;G24&amp;"_"&amp;H24</f>
        <v>MICROSD_11X15_1_P3016KMD43B3_PHNXX1UX3P09A</v>
      </c>
      <c r="D24" s="7" t="s">
        <v>78</v>
      </c>
      <c r="E24" s="7" t="s">
        <v>255</v>
      </c>
      <c r="F24" s="7">
        <f t="shared" si="1"/>
        <v>1</v>
      </c>
      <c r="G24" s="7" t="s">
        <v>272</v>
      </c>
      <c r="H24" s="7" t="s">
        <v>282</v>
      </c>
      <c r="J24" s="7" t="e">
        <f>VLOOKUP(M24,[2]Plan_82!$D$5:$K$420,6,0)</f>
        <v>#N/A</v>
      </c>
      <c r="K24" s="7" t="e">
        <f>VLOOKUP(M24,[2]Plan_82!$C$5:$H$420,5,0)</f>
        <v>#N/A</v>
      </c>
      <c r="L24" s="7" t="s">
        <v>18</v>
      </c>
      <c r="M24" s="7" t="s">
        <v>271</v>
      </c>
      <c r="N24" s="7" t="str">
        <f t="shared" si="2"/>
        <v>54-82-04445-002G</v>
      </c>
      <c r="O24" s="7" t="s">
        <v>81</v>
      </c>
      <c r="P24" s="7" t="s">
        <v>107</v>
      </c>
      <c r="Q24" s="7" t="s">
        <v>108</v>
      </c>
      <c r="R24" s="7" t="s">
        <v>84</v>
      </c>
      <c r="S24" s="7" t="s">
        <v>106</v>
      </c>
      <c r="T24" s="7">
        <v>1</v>
      </c>
      <c r="U24" s="9">
        <v>308200</v>
      </c>
      <c r="V24" s="7">
        <f t="shared" si="3"/>
        <v>308200</v>
      </c>
      <c r="W24" s="13">
        <f>LOOKUP(2,1/([1]UPH!$A$3:$A$211=C24),[1]UPH!$CJ$3:$CJ$211)</f>
        <v>24813.925570228093</v>
      </c>
      <c r="X24" s="13">
        <f>LOOKUP(2,1/([1]UPH!$A$3:$A$211=C24),[1]UPH!$CK$3:$CK$211)</f>
        <v>11543.058034742478</v>
      </c>
      <c r="Y24" s="13">
        <f>LOOKUP(2,1/([1]UPH!$A$3:$A$211=C24),[1]UPH!$CL$3:$CL$211)</f>
        <v>4140.76829901367</v>
      </c>
      <c r="Z24" s="13">
        <f>LOOKUP(2,1/([1]UPH!$A$3:$A$211=C24),[1]UPH!$CM$3:$CM$211)</f>
        <v>897.61904761904771</v>
      </c>
      <c r="AA24" s="13">
        <f>LOOKUP(2,1/([1]UPH!$A$3:$A$211=C24),[1]UPH!$CN$3:$CN$211)</f>
        <v>230</v>
      </c>
      <c r="AB24" s="13">
        <f>LOOKUP(2,1/([1]UPH!$A$3:$A$211=C24),[1]UPH!$CO$3:$CO$211)</f>
        <v>13536</v>
      </c>
      <c r="AC24" s="25">
        <f>VLOOKUP(G24,[1]Tech!$B$2:$E$22,4,0)</f>
        <v>530</v>
      </c>
      <c r="AD24" s="23">
        <f t="shared" si="13"/>
        <v>13250</v>
      </c>
      <c r="AE24" s="24">
        <f t="shared" si="14"/>
        <v>23.260377358490565</v>
      </c>
      <c r="AF24" s="7">
        <f>VLOOKUP(E24,'[1]Lot size'!$C$2:$E$20,3,0)</f>
        <v>80</v>
      </c>
      <c r="AG24" s="7">
        <f t="shared" si="6"/>
        <v>20</v>
      </c>
      <c r="AH24" s="7">
        <f t="shared" si="7"/>
        <v>4</v>
      </c>
      <c r="AI24" s="7">
        <f t="shared" si="8"/>
        <v>1600</v>
      </c>
      <c r="AJ24" s="7">
        <f t="shared" si="9"/>
        <v>6400</v>
      </c>
      <c r="AK24" s="12">
        <f t="shared" si="10"/>
        <v>69.781132075471703</v>
      </c>
    </row>
    <row r="25" spans="1:37">
      <c r="A25" s="7" t="s">
        <v>78</v>
      </c>
      <c r="B25" s="7">
        <f>COUNTIF('[1]Raw data'!$A$3:$A$211,C25)</f>
        <v>1</v>
      </c>
      <c r="C25" s="7" t="str">
        <f t="shared" si="0"/>
        <v>MICROSD_11X15_1_P3016KMD43B3_PHSNRCHCARD</v>
      </c>
      <c r="D25" s="7" t="s">
        <v>78</v>
      </c>
      <c r="E25" s="7" t="s">
        <v>255</v>
      </c>
      <c r="F25" s="7">
        <f t="shared" si="1"/>
        <v>1</v>
      </c>
      <c r="G25" s="7" t="s">
        <v>272</v>
      </c>
      <c r="H25" s="7" t="s">
        <v>285</v>
      </c>
      <c r="J25" s="7" t="str">
        <f>VLOOKUP(M25,[2]Plan_82!$C$5:$L$420,9,0)</f>
        <v>43nm 16Gb D3</v>
      </c>
      <c r="K25" s="7" t="str">
        <f>VLOOKUP(M25,[2]Plan_82!$C$5:$H$420,5,0)</f>
        <v>20-81-00292</v>
      </c>
      <c r="L25" s="7" t="s">
        <v>18</v>
      </c>
      <c r="M25" s="7" t="s">
        <v>109</v>
      </c>
      <c r="N25" s="7" t="str">
        <f t="shared" si="2"/>
        <v>54-82-05988-002G</v>
      </c>
      <c r="O25" s="7" t="s">
        <v>81</v>
      </c>
      <c r="P25" s="7" t="s">
        <v>110</v>
      </c>
      <c r="Q25" s="7" t="s">
        <v>111</v>
      </c>
      <c r="R25" s="7" t="s">
        <v>112</v>
      </c>
      <c r="S25" s="7" t="s">
        <v>113</v>
      </c>
      <c r="T25" s="7">
        <v>1</v>
      </c>
      <c r="U25" s="9">
        <f>240000-20000</f>
        <v>220000</v>
      </c>
      <c r="V25" s="7">
        <f t="shared" si="3"/>
        <v>220000</v>
      </c>
      <c r="W25" s="13">
        <f>LOOKUP(2,1/([1]UPH!$A$3:$A$211=C25),[1]UPH!$CJ$3:$CJ$211)</f>
        <v>24573.388203017832</v>
      </c>
      <c r="X25" s="13">
        <f>LOOKUP(2,1/([1]UPH!$A$3:$A$211=C25),[1]UPH!$CK$3:$CK$211)</f>
        <v>11449.573969804174</v>
      </c>
      <c r="Y25" s="13">
        <f>LOOKUP(2,1/([1]UPH!$A$3:$A$211=C25),[1]UPH!$CL$3:$CL$211)</f>
        <v>3903.9154169542571</v>
      </c>
      <c r="Z25" s="13">
        <f>LOOKUP(2,1/([1]UPH!$A$3:$A$211=C25),[1]UPH!$CM$3:$CM$211)</f>
        <v>897.61904761904771</v>
      </c>
      <c r="AA25" s="13">
        <f>LOOKUP(2,1/([1]UPH!$A$3:$A$211=C25),[1]UPH!$CN$3:$CN$211)</f>
        <v>360</v>
      </c>
      <c r="AB25" s="13">
        <f>LOOKUP(2,1/([1]UPH!$A$3:$A$211=C25),[1]UPH!$CO$3:$CO$211)</f>
        <v>13536</v>
      </c>
      <c r="AC25" s="25">
        <f>VLOOKUP(G25,[1]Tech!$B$2:$E$22,4,0)</f>
        <v>530</v>
      </c>
      <c r="AD25" s="23">
        <f t="shared" si="13"/>
        <v>13250</v>
      </c>
      <c r="AE25" s="24">
        <f t="shared" si="14"/>
        <v>16.60377358490566</v>
      </c>
      <c r="AF25" s="7">
        <f>VLOOKUP(E25,'[1]Lot size'!$C$2:$E$20,3,0)</f>
        <v>80</v>
      </c>
      <c r="AG25" s="7">
        <f t="shared" si="6"/>
        <v>20</v>
      </c>
      <c r="AH25" s="7">
        <f t="shared" si="7"/>
        <v>4</v>
      </c>
      <c r="AI25" s="7">
        <f t="shared" si="8"/>
        <v>1600</v>
      </c>
      <c r="AJ25" s="7">
        <f t="shared" si="9"/>
        <v>6400</v>
      </c>
      <c r="AK25" s="12">
        <f t="shared" si="10"/>
        <v>49.811320754716981</v>
      </c>
    </row>
    <row r="26" spans="1:37" ht="15.75" thickBot="1">
      <c r="A26" s="7" t="s">
        <v>78</v>
      </c>
      <c r="B26" s="7">
        <f>COUNTIF('[1]Raw data'!$A$3:$A$211,C26)</f>
        <v>1</v>
      </c>
      <c r="C26" s="7" t="str">
        <f t="shared" si="0"/>
        <v>MICROSD_11X15_1_P3016KMD43B3_PHSNRCHCARD</v>
      </c>
      <c r="D26" s="7" t="s">
        <v>78</v>
      </c>
      <c r="E26" s="7" t="s">
        <v>255</v>
      </c>
      <c r="F26" s="7">
        <f t="shared" si="1"/>
        <v>1</v>
      </c>
      <c r="G26" s="7" t="s">
        <v>272</v>
      </c>
      <c r="H26" s="7" t="s">
        <v>285</v>
      </c>
      <c r="J26" s="7" t="e">
        <f>VLOOKUP(M26,[2]Plan_82!$D$5:$K$420,6,0)</f>
        <v>#N/A</v>
      </c>
      <c r="K26" s="7" t="e">
        <f>VLOOKUP(M26,[2]Plan_82!$C$5:$H$420,5,0)</f>
        <v>#N/A</v>
      </c>
      <c r="L26" s="7" t="s">
        <v>18</v>
      </c>
      <c r="M26" s="10" t="s">
        <v>266</v>
      </c>
      <c r="N26" s="7" t="str">
        <f t="shared" si="2"/>
        <v>54-82-16459-002G</v>
      </c>
      <c r="O26" s="7" t="s">
        <v>81</v>
      </c>
      <c r="P26" s="7" t="s">
        <v>110</v>
      </c>
      <c r="Q26" s="7" t="s">
        <v>111</v>
      </c>
      <c r="R26" s="7" t="s">
        <v>112</v>
      </c>
      <c r="S26" s="7" t="s">
        <v>113</v>
      </c>
      <c r="T26" s="7">
        <v>1</v>
      </c>
      <c r="U26" s="9">
        <f>0+20000</f>
        <v>20000</v>
      </c>
      <c r="V26" s="7">
        <f t="shared" si="3"/>
        <v>20000</v>
      </c>
      <c r="W26" s="13">
        <f>LOOKUP(2,1/([1]UPH!$A$3:$A$211=C26),[1]UPH!$CJ$3:$CJ$211)</f>
        <v>24573.388203017832</v>
      </c>
      <c r="X26" s="13">
        <f>LOOKUP(2,1/([1]UPH!$A$3:$A$211=C26),[1]UPH!$CK$3:$CK$211)</f>
        <v>11449.573969804174</v>
      </c>
      <c r="Y26" s="13">
        <f>LOOKUP(2,1/([1]UPH!$A$3:$A$211=C26),[1]UPH!$CL$3:$CL$211)</f>
        <v>3903.9154169542571</v>
      </c>
      <c r="Z26" s="13">
        <f>LOOKUP(2,1/([1]UPH!$A$3:$A$211=C26),[1]UPH!$CM$3:$CM$211)</f>
        <v>897.61904761904771</v>
      </c>
      <c r="AA26" s="13">
        <f>LOOKUP(2,1/([1]UPH!$A$3:$A$211=C26),[1]UPH!$CN$3:$CN$211)</f>
        <v>360</v>
      </c>
      <c r="AB26" s="13">
        <f>LOOKUP(2,1/([1]UPH!$A$3:$A$211=C26),[1]UPH!$CO$3:$CO$211)</f>
        <v>13536</v>
      </c>
      <c r="AC26" s="25">
        <f>VLOOKUP(G26,[1]Tech!$B$2:$E$22,4,0)</f>
        <v>530</v>
      </c>
      <c r="AD26" s="23">
        <f t="shared" si="13"/>
        <v>13250</v>
      </c>
      <c r="AE26" s="24">
        <f t="shared" si="14"/>
        <v>1.5094339622641511</v>
      </c>
      <c r="AF26" s="7">
        <f>VLOOKUP(E26,'[1]Lot size'!$C$2:$E$20,3,0)</f>
        <v>80</v>
      </c>
      <c r="AG26" s="7">
        <f t="shared" si="6"/>
        <v>20</v>
      </c>
      <c r="AH26" s="7">
        <f t="shared" si="7"/>
        <v>4</v>
      </c>
      <c r="AI26" s="7">
        <f t="shared" si="8"/>
        <v>1600</v>
      </c>
      <c r="AJ26" s="7">
        <f t="shared" si="9"/>
        <v>6400</v>
      </c>
      <c r="AK26" s="12">
        <f t="shared" si="10"/>
        <v>4.5283018867924536</v>
      </c>
    </row>
    <row r="27" spans="1:37">
      <c r="A27" s="7" t="s">
        <v>78</v>
      </c>
      <c r="B27" s="7">
        <f>COUNTIF('[1]Raw data'!$A$3:$A$211,C27)</f>
        <v>1</v>
      </c>
      <c r="C27" s="7" t="str">
        <f t="shared" si="0"/>
        <v>MICROSD_11X15_1_P3016KMD43B3_PHNXX1UX3P09A</v>
      </c>
      <c r="D27" s="7" t="s">
        <v>78</v>
      </c>
      <c r="E27" s="7" t="s">
        <v>255</v>
      </c>
      <c r="F27" s="7">
        <f t="shared" si="1"/>
        <v>1</v>
      </c>
      <c r="G27" s="7" t="s">
        <v>272</v>
      </c>
      <c r="H27" s="7" t="s">
        <v>282</v>
      </c>
      <c r="J27" s="7" t="e">
        <f>VLOOKUP(M27,[2]Plan_82!$D$5:$K$420,6,0)</f>
        <v>#N/A</v>
      </c>
      <c r="K27" s="7" t="e">
        <f>VLOOKUP(M27,[2]Plan_82!$C$5:$H$420,5,0)</f>
        <v>#N/A</v>
      </c>
      <c r="L27" s="7" t="s">
        <v>18</v>
      </c>
      <c r="M27" s="7" t="s">
        <v>269</v>
      </c>
      <c r="N27" s="7" t="str">
        <f t="shared" si="2"/>
        <v>54-82-06534-002G</v>
      </c>
      <c r="O27" s="7" t="s">
        <v>81</v>
      </c>
      <c r="P27" s="7" t="s">
        <v>107</v>
      </c>
      <c r="Q27" s="7" t="s">
        <v>108</v>
      </c>
      <c r="R27" s="7" t="s">
        <v>84</v>
      </c>
      <c r="S27" s="7" t="s">
        <v>106</v>
      </c>
      <c r="T27" s="7">
        <v>1</v>
      </c>
      <c r="U27" s="9">
        <v>190064</v>
      </c>
      <c r="V27" s="7">
        <f t="shared" si="3"/>
        <v>190064</v>
      </c>
      <c r="W27" s="13">
        <f>LOOKUP(2,1/([1]UPH!$A$3:$A$211=C27),[1]UPH!$CJ$3:$CJ$211)</f>
        <v>24813.925570228093</v>
      </c>
      <c r="X27" s="13">
        <f>LOOKUP(2,1/([1]UPH!$A$3:$A$211=C27),[1]UPH!$CK$3:$CK$211)</f>
        <v>11543.058034742478</v>
      </c>
      <c r="Y27" s="13">
        <f>LOOKUP(2,1/([1]UPH!$A$3:$A$211=C27),[1]UPH!$CL$3:$CL$211)</f>
        <v>4140.76829901367</v>
      </c>
      <c r="Z27" s="13">
        <f>LOOKUP(2,1/([1]UPH!$A$3:$A$211=C27),[1]UPH!$CM$3:$CM$211)</f>
        <v>897.61904761904771</v>
      </c>
      <c r="AA27" s="13">
        <f>LOOKUP(2,1/([1]UPH!$A$3:$A$211=C27),[1]UPH!$CN$3:$CN$211)</f>
        <v>230</v>
      </c>
      <c r="AB27" s="13">
        <f>LOOKUP(2,1/([1]UPH!$A$3:$A$211=C27),[1]UPH!$CO$3:$CO$211)</f>
        <v>13536</v>
      </c>
      <c r="AC27" s="25">
        <f>VLOOKUP(G27,[1]Tech!$B$2:$E$22,4,0)</f>
        <v>530</v>
      </c>
      <c r="AD27" s="23">
        <f t="shared" si="13"/>
        <v>13250</v>
      </c>
      <c r="AE27" s="24">
        <f t="shared" si="14"/>
        <v>14.344452830188679</v>
      </c>
      <c r="AF27" s="7">
        <f>VLOOKUP(E27,'[1]Lot size'!$C$2:$E$20,3,0)</f>
        <v>80</v>
      </c>
      <c r="AG27" s="7">
        <f t="shared" si="6"/>
        <v>20</v>
      </c>
      <c r="AH27" s="7">
        <f t="shared" si="7"/>
        <v>4</v>
      </c>
      <c r="AI27" s="7">
        <f t="shared" si="8"/>
        <v>1600</v>
      </c>
      <c r="AJ27" s="7">
        <f t="shared" si="9"/>
        <v>6400</v>
      </c>
      <c r="AK27" s="12">
        <f t="shared" si="10"/>
        <v>43.033358490566037</v>
      </c>
    </row>
    <row r="28" spans="1:37">
      <c r="A28" s="7" t="s">
        <v>78</v>
      </c>
      <c r="B28" s="7">
        <f>COUNTIF('[1]Raw data'!$A$3:$A$211,C28)</f>
        <v>1</v>
      </c>
      <c r="C28" s="7" t="str">
        <f t="shared" si="0"/>
        <v>MICROSD_11X15_1_P3016KED32B3_PHNXX2MR3P06A</v>
      </c>
      <c r="D28" s="7" t="s">
        <v>78</v>
      </c>
      <c r="E28" s="7" t="s">
        <v>255</v>
      </c>
      <c r="F28" s="7">
        <f t="shared" si="1"/>
        <v>1</v>
      </c>
      <c r="G28" s="7" t="s">
        <v>274</v>
      </c>
      <c r="H28" s="7" t="s">
        <v>286</v>
      </c>
      <c r="J28" s="7" t="str">
        <f>VLOOKUP(M28,[2]Plan_82!$C$5:$L$420,9,0)</f>
        <v>32nm 16Gb EX3</v>
      </c>
      <c r="K28" s="7" t="str">
        <f>VLOOKUP(M28,[2]Plan_82!$C$5:$H$420,5,0)</f>
        <v>20-81-00277</v>
      </c>
      <c r="L28" s="7" t="s">
        <v>18</v>
      </c>
      <c r="M28" s="7" t="s">
        <v>114</v>
      </c>
      <c r="N28" s="7" t="str">
        <f t="shared" si="2"/>
        <v>54-82-07807-002G</v>
      </c>
      <c r="O28" s="7" t="s">
        <v>81</v>
      </c>
      <c r="P28" s="7" t="s">
        <v>115</v>
      </c>
      <c r="Q28" s="7" t="s">
        <v>116</v>
      </c>
      <c r="R28" s="7" t="s">
        <v>117</v>
      </c>
      <c r="S28" s="7" t="s">
        <v>118</v>
      </c>
      <c r="T28" s="7">
        <v>1</v>
      </c>
      <c r="U28" s="9">
        <v>60000</v>
      </c>
      <c r="V28" s="7">
        <f t="shared" si="3"/>
        <v>60000</v>
      </c>
      <c r="W28" s="13">
        <f>LOOKUP(2,1/([1]UPH!$A$3:$A$211=C28),[1]UPH!$CJ$3:$CJ$211)</f>
        <v>39772.727272727272</v>
      </c>
      <c r="X28" s="13">
        <f>LOOKUP(2,1/([1]UPH!$A$3:$A$211=C28),[1]UPH!$CK$3:$CK$211)</f>
        <v>18295.454545454548</v>
      </c>
      <c r="Y28" s="13">
        <f>LOOKUP(2,1/([1]UPH!$A$3:$A$211=C28),[1]UPH!$CL$3:$CL$211)</f>
        <v>4666.666666666667</v>
      </c>
      <c r="Z28" s="13">
        <f>LOOKUP(2,1/([1]UPH!$A$3:$A$211=C28),[1]UPH!$CM$3:$CM$211)</f>
        <v>944.18604651162798</v>
      </c>
      <c r="AA28" s="13">
        <f>LOOKUP(2,1/([1]UPH!$A$3:$A$211=C28),[1]UPH!$CN$3:$CN$211)</f>
        <v>360</v>
      </c>
      <c r="AB28" s="13">
        <f>LOOKUP(2,1/([1]UPH!$A$3:$A$211=C28),[1]UPH!$CO$3:$CO$211)</f>
        <v>13536</v>
      </c>
      <c r="AC28" s="25">
        <f>VLOOKUP(G28,[1]Tech!$B$2:$E$22,4,0)</f>
        <v>840</v>
      </c>
      <c r="AD28" s="23">
        <f t="shared" si="13"/>
        <v>21000</v>
      </c>
      <c r="AE28" s="24">
        <f t="shared" si="14"/>
        <v>2.8571428571428572</v>
      </c>
      <c r="AF28" s="7">
        <f>VLOOKUP(E28,'[1]Lot size'!$C$2:$E$20,3,0)</f>
        <v>80</v>
      </c>
      <c r="AG28" s="7">
        <f t="shared" si="6"/>
        <v>20</v>
      </c>
      <c r="AH28" s="7">
        <f t="shared" si="7"/>
        <v>4</v>
      </c>
      <c r="AI28" s="7">
        <f t="shared" si="8"/>
        <v>1600</v>
      </c>
      <c r="AJ28" s="7">
        <f t="shared" si="9"/>
        <v>6400</v>
      </c>
      <c r="AK28" s="12">
        <f t="shared" si="10"/>
        <v>11.428571428571429</v>
      </c>
    </row>
    <row r="29" spans="1:37">
      <c r="A29" s="7" t="s">
        <v>78</v>
      </c>
      <c r="B29" s="7">
        <f>COUNTIF('[1]Raw data'!$A$3:$A$211,C29)</f>
        <v>1</v>
      </c>
      <c r="C29" s="7" t="str">
        <f t="shared" si="0"/>
        <v>MICROSD_11X15_1_P3016KED32B3_PHNXX2MR3P06A</v>
      </c>
      <c r="D29" s="7" t="s">
        <v>78</v>
      </c>
      <c r="E29" s="7" t="s">
        <v>255</v>
      </c>
      <c r="F29" s="7">
        <f t="shared" si="1"/>
        <v>1</v>
      </c>
      <c r="G29" s="7" t="s">
        <v>274</v>
      </c>
      <c r="H29" s="7" t="s">
        <v>286</v>
      </c>
      <c r="J29" s="7" t="str">
        <f>VLOOKUP(M29,[2]Plan_82!$C$5:$L$420,9,0)</f>
        <v>32nm 16Gb EX3</v>
      </c>
      <c r="K29" s="7" t="str">
        <f>VLOOKUP(M29,[2]Plan_82!$C$5:$H$420,5,0)</f>
        <v>20-81-00277</v>
      </c>
      <c r="L29" s="7" t="s">
        <v>18</v>
      </c>
      <c r="M29" s="7" t="s">
        <v>119</v>
      </c>
      <c r="N29" s="7" t="str">
        <f t="shared" si="2"/>
        <v>54-82-07810-002G</v>
      </c>
      <c r="O29" s="7" t="s">
        <v>81</v>
      </c>
      <c r="P29" s="7" t="s">
        <v>115</v>
      </c>
      <c r="Q29" s="7" t="s">
        <v>116</v>
      </c>
      <c r="R29" s="7" t="s">
        <v>117</v>
      </c>
      <c r="S29" s="7" t="s">
        <v>118</v>
      </c>
      <c r="T29" s="7">
        <v>1</v>
      </c>
      <c r="U29" s="9">
        <f>140396-20000</f>
        <v>120396</v>
      </c>
      <c r="V29" s="7">
        <f t="shared" si="3"/>
        <v>120396</v>
      </c>
      <c r="W29" s="13">
        <f>LOOKUP(2,1/([1]UPH!$A$3:$A$211=C29),[1]UPH!$CJ$3:$CJ$211)</f>
        <v>39772.727272727272</v>
      </c>
      <c r="X29" s="13">
        <f>LOOKUP(2,1/([1]UPH!$A$3:$A$211=C29),[1]UPH!$CK$3:$CK$211)</f>
        <v>18295.454545454548</v>
      </c>
      <c r="Y29" s="13">
        <f>LOOKUP(2,1/([1]UPH!$A$3:$A$211=C29),[1]UPH!$CL$3:$CL$211)</f>
        <v>4666.666666666667</v>
      </c>
      <c r="Z29" s="13">
        <f>LOOKUP(2,1/([1]UPH!$A$3:$A$211=C29),[1]UPH!$CM$3:$CM$211)</f>
        <v>944.18604651162798</v>
      </c>
      <c r="AA29" s="13">
        <f>LOOKUP(2,1/([1]UPH!$A$3:$A$211=C29),[1]UPH!$CN$3:$CN$211)</f>
        <v>360</v>
      </c>
      <c r="AB29" s="13">
        <f>LOOKUP(2,1/([1]UPH!$A$3:$A$211=C29),[1]UPH!$CO$3:$CO$211)</f>
        <v>13536</v>
      </c>
      <c r="AC29" s="25">
        <f>VLOOKUP(G29,[1]Tech!$B$2:$E$22,4,0)</f>
        <v>840</v>
      </c>
      <c r="AD29" s="23">
        <f t="shared" si="13"/>
        <v>21000</v>
      </c>
      <c r="AE29" s="24">
        <f t="shared" si="14"/>
        <v>5.7331428571428571</v>
      </c>
      <c r="AF29" s="7">
        <f>VLOOKUP(E29,'[1]Lot size'!$C$2:$E$20,3,0)</f>
        <v>80</v>
      </c>
      <c r="AG29" s="7">
        <f t="shared" si="6"/>
        <v>20</v>
      </c>
      <c r="AH29" s="7">
        <f t="shared" si="7"/>
        <v>4</v>
      </c>
      <c r="AI29" s="7">
        <f t="shared" si="8"/>
        <v>1600</v>
      </c>
      <c r="AJ29" s="7">
        <f t="shared" si="9"/>
        <v>6400</v>
      </c>
      <c r="AK29" s="12">
        <f t="shared" si="10"/>
        <v>22.932571428571428</v>
      </c>
    </row>
    <row r="30" spans="1:37">
      <c r="A30" s="7" t="s">
        <v>78</v>
      </c>
      <c r="B30" s="7">
        <f>COUNTIF('[1]Raw data'!$A$3:$A$211,C30)</f>
        <v>1</v>
      </c>
      <c r="C30" s="7" t="str">
        <f t="shared" si="0"/>
        <v>MICROSD_11X15_4_P3065KED24B3_PHNXX2MH3P06A</v>
      </c>
      <c r="D30" s="7" t="s">
        <v>78</v>
      </c>
      <c r="E30" s="7" t="s">
        <v>255</v>
      </c>
      <c r="F30" s="7">
        <f t="shared" si="1"/>
        <v>4</v>
      </c>
      <c r="G30" s="7" t="s">
        <v>283</v>
      </c>
      <c r="H30" s="7" t="s">
        <v>275</v>
      </c>
      <c r="J30" s="7" t="str">
        <f>VLOOKUP(M30,[2]Plan_82!$C$5:$L$420,9,0)</f>
        <v>24nm 64Gb EX3</v>
      </c>
      <c r="K30" s="7" t="str">
        <f>VLOOKUP(M30,[2]Plan_82!$C$5:$H$420,5,0)</f>
        <v>20-81-00339</v>
      </c>
      <c r="L30" s="7" t="s">
        <v>39</v>
      </c>
      <c r="M30" s="7" t="s">
        <v>120</v>
      </c>
      <c r="N30" s="7" t="str">
        <f t="shared" si="2"/>
        <v>54-82-08205-032G</v>
      </c>
      <c r="O30" s="7" t="s">
        <v>101</v>
      </c>
      <c r="P30" s="7" t="s">
        <v>121</v>
      </c>
      <c r="Q30" s="7" t="s">
        <v>94</v>
      </c>
      <c r="R30" s="7" t="s">
        <v>99</v>
      </c>
      <c r="S30" s="7" t="s">
        <v>122</v>
      </c>
      <c r="T30" s="7">
        <v>4</v>
      </c>
      <c r="U30" s="9">
        <v>50810</v>
      </c>
      <c r="V30" s="7">
        <f t="shared" si="3"/>
        <v>203240</v>
      </c>
      <c r="W30" s="13">
        <f>LOOKUP(2,1/([1]UPH!$A$3:$A$211=C30),[1]UPH!$CJ$3:$CJ$211)</f>
        <v>2195.6438670233092</v>
      </c>
      <c r="X30" s="13">
        <f>LOOKUP(2,1/([1]UPH!$A$3:$A$211=C30),[1]UPH!$CK$3:$CK$211)</f>
        <v>1224.4936950706917</v>
      </c>
      <c r="Y30" s="13">
        <f>LOOKUP(2,1/([1]UPH!$A$3:$A$211=C30),[1]UPH!$CL$3:$CL$211)</f>
        <v>543.48005786319482</v>
      </c>
      <c r="Z30" s="13">
        <f>LOOKUP(2,1/([1]UPH!$A$3:$A$211=C30),[1]UPH!$CM$3:$CM$211)</f>
        <v>243.75</v>
      </c>
      <c r="AA30" s="13">
        <f>LOOKUP(2,1/([1]UPH!$A$3:$A$211=C30),[1]UPH!$CN$3:$CN$211)</f>
        <v>114.8936170212766</v>
      </c>
      <c r="AB30" s="13">
        <f>LOOKUP(2,1/([1]UPH!$A$3:$A$211=C30),[1]UPH!$CO$3:$CO$211)</f>
        <v>13536</v>
      </c>
      <c r="AC30" s="25">
        <f>VLOOKUP(G30,[1]Tech!$B$2:$E$22,4,0)</f>
        <v>340</v>
      </c>
      <c r="AD30" s="23">
        <f t="shared" si="13"/>
        <v>2125</v>
      </c>
      <c r="AE30" s="24">
        <f t="shared" si="14"/>
        <v>23.910588235294117</v>
      </c>
      <c r="AF30" s="7">
        <f>VLOOKUP(E30,'[1]Lot size'!$C$2:$E$20,3,0)</f>
        <v>80</v>
      </c>
      <c r="AG30" s="7">
        <f t="shared" si="6"/>
        <v>10</v>
      </c>
      <c r="AH30" s="7">
        <f t="shared" si="7"/>
        <v>2</v>
      </c>
      <c r="AI30" s="7">
        <f t="shared" si="8"/>
        <v>800</v>
      </c>
      <c r="AJ30" s="7">
        <f t="shared" si="9"/>
        <v>1600</v>
      </c>
      <c r="AK30" s="12">
        <f t="shared" si="10"/>
        <v>47.821176470588235</v>
      </c>
    </row>
    <row r="31" spans="1:37">
      <c r="A31" s="7" t="s">
        <v>78</v>
      </c>
      <c r="B31" s="7">
        <f>COUNTIF('[1]Raw data'!$A$3:$A$211,C31)</f>
        <v>1</v>
      </c>
      <c r="C31" s="7" t="str">
        <f t="shared" si="0"/>
        <v>MICROSD_11X15_4_P3065KED24B3_PHNXX2MH3P06A</v>
      </c>
      <c r="D31" s="7" t="s">
        <v>78</v>
      </c>
      <c r="E31" s="7" t="s">
        <v>255</v>
      </c>
      <c r="F31" s="7">
        <f t="shared" si="1"/>
        <v>4</v>
      </c>
      <c r="G31" s="7" t="s">
        <v>283</v>
      </c>
      <c r="H31" s="7" t="s">
        <v>275</v>
      </c>
      <c r="J31" s="7" t="str">
        <f>VLOOKUP(M31,[2]Plan_82!$C$5:$L$420,9,0)</f>
        <v>24nm 64Gb EX3</v>
      </c>
      <c r="K31" s="7" t="str">
        <f>VLOOKUP(M31,[2]Plan_82!$C$5:$H$420,5,0)</f>
        <v>20-81-00303</v>
      </c>
      <c r="L31" s="7" t="s">
        <v>39</v>
      </c>
      <c r="M31" s="7" t="s">
        <v>123</v>
      </c>
      <c r="N31" s="7" t="str">
        <f t="shared" si="2"/>
        <v>54-82-08505-032G</v>
      </c>
      <c r="O31" s="7" t="s">
        <v>101</v>
      </c>
      <c r="P31" s="7" t="s">
        <v>121</v>
      </c>
      <c r="Q31" s="7" t="s">
        <v>94</v>
      </c>
      <c r="R31" s="7" t="s">
        <v>99</v>
      </c>
      <c r="S31" s="7" t="s">
        <v>124</v>
      </c>
      <c r="T31" s="7">
        <v>4</v>
      </c>
      <c r="U31" s="9">
        <v>31132</v>
      </c>
      <c r="V31" s="7">
        <f t="shared" si="3"/>
        <v>124528</v>
      </c>
      <c r="W31" s="13">
        <f>LOOKUP(2,1/([1]UPH!$A$3:$A$211=C31),[1]UPH!$CJ$3:$CJ$211)</f>
        <v>2195.6438670233092</v>
      </c>
      <c r="X31" s="13">
        <f>LOOKUP(2,1/([1]UPH!$A$3:$A$211=C31),[1]UPH!$CK$3:$CK$211)</f>
        <v>1224.4936950706917</v>
      </c>
      <c r="Y31" s="13">
        <f>LOOKUP(2,1/([1]UPH!$A$3:$A$211=C31),[1]UPH!$CL$3:$CL$211)</f>
        <v>543.48005786319482</v>
      </c>
      <c r="Z31" s="13">
        <f>LOOKUP(2,1/([1]UPH!$A$3:$A$211=C31),[1]UPH!$CM$3:$CM$211)</f>
        <v>243.75</v>
      </c>
      <c r="AA31" s="13">
        <f>LOOKUP(2,1/([1]UPH!$A$3:$A$211=C31),[1]UPH!$CN$3:$CN$211)</f>
        <v>114.8936170212766</v>
      </c>
      <c r="AB31" s="13">
        <f>LOOKUP(2,1/([1]UPH!$A$3:$A$211=C31),[1]UPH!$CO$3:$CO$211)</f>
        <v>13536</v>
      </c>
      <c r="AC31" s="25">
        <f>VLOOKUP(G31,[1]Tech!$B$2:$E$22,4,0)</f>
        <v>340</v>
      </c>
      <c r="AD31" s="23">
        <f t="shared" si="13"/>
        <v>2125</v>
      </c>
      <c r="AE31" s="24">
        <f t="shared" si="14"/>
        <v>14.65035294117647</v>
      </c>
      <c r="AF31" s="7">
        <f>VLOOKUP(E31,'[1]Lot size'!$C$2:$E$20,3,0)</f>
        <v>80</v>
      </c>
      <c r="AG31" s="7">
        <f t="shared" si="6"/>
        <v>10</v>
      </c>
      <c r="AH31" s="7">
        <f t="shared" si="7"/>
        <v>2</v>
      </c>
      <c r="AI31" s="7">
        <f t="shared" si="8"/>
        <v>800</v>
      </c>
      <c r="AJ31" s="7">
        <f t="shared" si="9"/>
        <v>1600</v>
      </c>
      <c r="AK31" s="12">
        <f t="shared" si="10"/>
        <v>29.30070588235294</v>
      </c>
    </row>
    <row r="32" spans="1:37">
      <c r="A32" s="7" t="s">
        <v>78</v>
      </c>
      <c r="B32" s="7">
        <f>COUNTIF('[1]Raw data'!$A$3:$A$211,C32)</f>
        <v>1</v>
      </c>
      <c r="C32" s="7" t="str">
        <f t="shared" si="0"/>
        <v>MICROSD_11X15_4_P3065KED24B3_PHNXX2MH3P06A</v>
      </c>
      <c r="D32" s="7" t="s">
        <v>78</v>
      </c>
      <c r="E32" s="7" t="s">
        <v>255</v>
      </c>
      <c r="F32" s="7">
        <f t="shared" si="1"/>
        <v>4</v>
      </c>
      <c r="G32" s="7" t="s">
        <v>283</v>
      </c>
      <c r="H32" s="7" t="s">
        <v>275</v>
      </c>
      <c r="J32" s="7" t="str">
        <f>VLOOKUP(M32,[2]Plan_82!$C$5:$L$420,9,0)</f>
        <v>24nm 64Gb EX3</v>
      </c>
      <c r="K32" s="7" t="str">
        <f>VLOOKUP(M32,[2]Plan_82!$C$5:$H$420,5,0)</f>
        <v>20-81-00303</v>
      </c>
      <c r="L32" s="7" t="s">
        <v>39</v>
      </c>
      <c r="M32" s="7" t="s">
        <v>125</v>
      </c>
      <c r="N32" s="7" t="str">
        <f t="shared" si="2"/>
        <v>54-82-08651-032G</v>
      </c>
      <c r="O32" s="7" t="s">
        <v>101</v>
      </c>
      <c r="P32" s="7" t="s">
        <v>126</v>
      </c>
      <c r="Q32" s="7" t="s">
        <v>94</v>
      </c>
      <c r="R32" s="7" t="s">
        <v>127</v>
      </c>
      <c r="S32" s="7" t="s">
        <v>122</v>
      </c>
      <c r="T32" s="7">
        <v>4</v>
      </c>
      <c r="U32" s="9">
        <v>15000</v>
      </c>
      <c r="V32" s="7">
        <f t="shared" si="3"/>
        <v>60000</v>
      </c>
      <c r="W32" s="13">
        <f>LOOKUP(2,1/([1]UPH!$A$3:$A$211=C32),[1]UPH!$CJ$3:$CJ$211)</f>
        <v>2195.6438670233092</v>
      </c>
      <c r="X32" s="13">
        <f>LOOKUP(2,1/([1]UPH!$A$3:$A$211=C32),[1]UPH!$CK$3:$CK$211)</f>
        <v>1224.4936950706917</v>
      </c>
      <c r="Y32" s="13">
        <f>LOOKUP(2,1/([1]UPH!$A$3:$A$211=C32),[1]UPH!$CL$3:$CL$211)</f>
        <v>543.48005786319482</v>
      </c>
      <c r="Z32" s="13">
        <f>LOOKUP(2,1/([1]UPH!$A$3:$A$211=C32),[1]UPH!$CM$3:$CM$211)</f>
        <v>243.75</v>
      </c>
      <c r="AA32" s="13">
        <f>LOOKUP(2,1/([1]UPH!$A$3:$A$211=C32),[1]UPH!$CN$3:$CN$211)</f>
        <v>114.8936170212766</v>
      </c>
      <c r="AB32" s="13">
        <f>LOOKUP(2,1/([1]UPH!$A$3:$A$211=C32),[1]UPH!$CO$3:$CO$211)</f>
        <v>13536</v>
      </c>
      <c r="AC32" s="25">
        <f>VLOOKUP(G32,[1]Tech!$B$2:$E$22,4,0)</f>
        <v>340</v>
      </c>
      <c r="AD32" s="23">
        <f t="shared" si="13"/>
        <v>2125</v>
      </c>
      <c r="AE32" s="24">
        <f t="shared" si="14"/>
        <v>7.0588235294117645</v>
      </c>
      <c r="AF32" s="7">
        <f>VLOOKUP(E32,'[1]Lot size'!$C$2:$E$20,3,0)</f>
        <v>80</v>
      </c>
      <c r="AG32" s="7">
        <f t="shared" si="6"/>
        <v>10</v>
      </c>
      <c r="AH32" s="7">
        <f t="shared" si="7"/>
        <v>2</v>
      </c>
      <c r="AI32" s="7">
        <f t="shared" si="8"/>
        <v>800</v>
      </c>
      <c r="AJ32" s="7">
        <f t="shared" si="9"/>
        <v>1600</v>
      </c>
      <c r="AK32" s="12">
        <f t="shared" si="10"/>
        <v>14.117647058823529</v>
      </c>
    </row>
    <row r="33" spans="1:37">
      <c r="A33" s="7" t="s">
        <v>78</v>
      </c>
      <c r="B33" s="7">
        <f>COUNTIF('[1]Raw data'!$A$3:$A$211,C33)</f>
        <v>1</v>
      </c>
      <c r="C33" s="7" t="str">
        <f t="shared" si="0"/>
        <v>MICROSD_11X15_2_P3016KMA32B3_CMBOS4ML3P09A</v>
      </c>
      <c r="D33" s="7" t="s">
        <v>78</v>
      </c>
      <c r="E33" s="7" t="s">
        <v>255</v>
      </c>
      <c r="F33" s="7">
        <f t="shared" si="1"/>
        <v>2</v>
      </c>
      <c r="G33" s="7" t="s">
        <v>277</v>
      </c>
      <c r="H33" s="7" t="s">
        <v>287</v>
      </c>
      <c r="J33" s="7" t="str">
        <f>VLOOKUP(M33,[2]Plan_82!$C$5:$L$420,9,0)</f>
        <v>32nm 16Gb D2</v>
      </c>
      <c r="K33" s="7" t="str">
        <f>VLOOKUP(M33,[2]Plan_82!$C$5:$H$420,5,0)</f>
        <v>20-81-00123</v>
      </c>
      <c r="L33" s="7" t="s">
        <v>44</v>
      </c>
      <c r="M33" s="7" t="s">
        <v>128</v>
      </c>
      <c r="N33" s="7" t="str">
        <f t="shared" si="2"/>
        <v>54-82-06601-004G</v>
      </c>
      <c r="O33" s="7" t="s">
        <v>92</v>
      </c>
      <c r="P33" s="7" t="s">
        <v>129</v>
      </c>
      <c r="Q33" s="7" t="s">
        <v>130</v>
      </c>
      <c r="R33" s="7" t="s">
        <v>131</v>
      </c>
      <c r="S33" s="7" t="s">
        <v>132</v>
      </c>
      <c r="T33" s="7">
        <v>2</v>
      </c>
      <c r="U33" s="9">
        <v>100000</v>
      </c>
      <c r="V33" s="7">
        <f t="shared" si="3"/>
        <v>200000</v>
      </c>
      <c r="W33" s="13">
        <f>LOOKUP(2,1/([1]UPH!$A$3:$A$211=C33),[1]UPH!$CJ$3:$CJ$211)</f>
        <v>10461.936820300363</v>
      </c>
      <c r="X33" s="13">
        <f>LOOKUP(2,1/([1]UPH!$A$3:$A$211=C33),[1]UPH!$CK$3:$CK$211)</f>
        <v>4171.232876712329</v>
      </c>
      <c r="Y33" s="13">
        <f>LOOKUP(2,1/([1]UPH!$A$3:$A$211=C33),[1]UPH!$CL$3:$CL$211)</f>
        <v>2075.294117647059</v>
      </c>
      <c r="Z33" s="13">
        <f>LOOKUP(2,1/([1]UPH!$A$3:$A$211=C33),[1]UPH!$CM$3:$CM$211)</f>
        <v>637.25490196078431</v>
      </c>
      <c r="AA33" s="13">
        <f>LOOKUP(2,1/([1]UPH!$A$3:$A$211=C33),[1]UPH!$CN$3:$CN$211)</f>
        <v>150</v>
      </c>
      <c r="AB33" s="13">
        <f>LOOKUP(2,1/([1]UPH!$A$3:$A$211=C33),[1]UPH!$CO$3:$CO$211)</f>
        <v>13536</v>
      </c>
      <c r="AC33" s="25">
        <f>VLOOKUP(G33,[1]Tech!$B$2:$E$22,4,0)</f>
        <v>600</v>
      </c>
      <c r="AD33" s="23">
        <f t="shared" si="13"/>
        <v>7500</v>
      </c>
      <c r="AE33" s="24">
        <f t="shared" si="14"/>
        <v>13.333333333333334</v>
      </c>
      <c r="AF33" s="7">
        <f>VLOOKUP(E33,'[1]Lot size'!$C$2:$E$20,3,0)</f>
        <v>80</v>
      </c>
      <c r="AG33" s="7">
        <f t="shared" si="6"/>
        <v>20</v>
      </c>
      <c r="AH33" s="7">
        <f t="shared" si="7"/>
        <v>4</v>
      </c>
      <c r="AI33" s="7">
        <f t="shared" si="8"/>
        <v>1600</v>
      </c>
      <c r="AJ33" s="7">
        <f t="shared" si="9"/>
        <v>6400</v>
      </c>
      <c r="AK33" s="12">
        <f t="shared" si="10"/>
        <v>26.666666666666668</v>
      </c>
    </row>
    <row r="34" spans="1:37">
      <c r="A34" s="7" t="s">
        <v>78</v>
      </c>
      <c r="B34" s="7">
        <f>COUNTIF('[1]Raw data'!$A$3:$A$211,C34)</f>
        <v>1</v>
      </c>
      <c r="C34" s="7" t="str">
        <f t="shared" si="0"/>
        <v>MICROSD_11X15_1_P3032KED24B3_PHNXX2MH3P06A</v>
      </c>
      <c r="D34" s="7" t="s">
        <v>78</v>
      </c>
      <c r="E34" s="7" t="s">
        <v>255</v>
      </c>
      <c r="F34" s="7">
        <f t="shared" si="1"/>
        <v>1</v>
      </c>
      <c r="G34" s="2" t="s">
        <v>291</v>
      </c>
      <c r="H34" s="7" t="s">
        <v>275</v>
      </c>
      <c r="J34" s="7" t="str">
        <f>VLOOKUP(M34,[2]Plan_82!$C$5:$L$420,9,0)</f>
        <v>24nm 32Gb EX3</v>
      </c>
      <c r="K34" s="7" t="str">
        <f>VLOOKUP(M34,[2]Plan_82!$C$5:$H$420,5,0)</f>
        <v>20-81-00303</v>
      </c>
      <c r="L34" s="7" t="s">
        <v>44</v>
      </c>
      <c r="M34" s="7" t="s">
        <v>133</v>
      </c>
      <c r="N34" s="7" t="str">
        <f t="shared" si="2"/>
        <v>54-82-08178-004G</v>
      </c>
      <c r="O34" s="7" t="s">
        <v>81</v>
      </c>
      <c r="P34" s="7" t="s">
        <v>134</v>
      </c>
      <c r="Q34" s="7" t="s">
        <v>135</v>
      </c>
      <c r="R34" s="7" t="s">
        <v>99</v>
      </c>
      <c r="S34" s="7" t="s">
        <v>136</v>
      </c>
      <c r="T34" s="7">
        <v>1</v>
      </c>
      <c r="U34" s="9">
        <v>320000</v>
      </c>
      <c r="V34" s="7">
        <f t="shared" si="3"/>
        <v>320000</v>
      </c>
      <c r="W34" s="13">
        <f>LOOKUP(2,1/([1]UPH!$A$3:$A$211=C34),[1]UPH!$CJ$3:$CJ$211)</f>
        <v>29588.839941262846</v>
      </c>
      <c r="X34" s="13">
        <f>LOOKUP(2,1/([1]UPH!$A$3:$A$211=C34),[1]UPH!$CK$3:$CK$211)</f>
        <v>13610.86637298091</v>
      </c>
      <c r="Y34" s="13">
        <f>LOOKUP(2,1/([1]UPH!$A$3:$A$211=C34),[1]UPH!$CL$3:$CL$211)</f>
        <v>3687.5816993464055</v>
      </c>
      <c r="Z34" s="13">
        <f>LOOKUP(2,1/([1]UPH!$A$3:$A$211=C34),[1]UPH!$CM$3:$CM$211)</f>
        <v>944.18604651162798</v>
      </c>
      <c r="AA34" s="13">
        <f>LOOKUP(2,1/([1]UPH!$A$3:$A$211=C34),[1]UPH!$CN$3:$CN$211)</f>
        <v>360</v>
      </c>
      <c r="AB34" s="13">
        <f>LOOKUP(2,1/([1]UPH!$A$3:$A$211=C34),[1]UPH!$CO$3:$CO$211)</f>
        <v>13536</v>
      </c>
      <c r="AC34" s="25">
        <f>VLOOKUP(G34,[1]Tech!$B$2:$E$22,4,0)</f>
        <v>620</v>
      </c>
      <c r="AD34" s="23">
        <f t="shared" si="13"/>
        <v>15500</v>
      </c>
      <c r="AE34" s="24">
        <f t="shared" si="14"/>
        <v>20.64516129032258</v>
      </c>
      <c r="AF34" s="7">
        <f>VLOOKUP(E34,'[1]Lot size'!$C$2:$E$20,3,0)</f>
        <v>80</v>
      </c>
      <c r="AG34" s="7">
        <f t="shared" si="6"/>
        <v>20</v>
      </c>
      <c r="AH34" s="7">
        <f t="shared" si="7"/>
        <v>4</v>
      </c>
      <c r="AI34" s="7">
        <f t="shared" si="8"/>
        <v>1600</v>
      </c>
      <c r="AJ34" s="7">
        <f t="shared" si="9"/>
        <v>6400</v>
      </c>
      <c r="AK34" s="12">
        <f t="shared" si="10"/>
        <v>61.935483870967744</v>
      </c>
    </row>
    <row r="35" spans="1:37">
      <c r="A35" s="7" t="s">
        <v>78</v>
      </c>
      <c r="B35" s="7">
        <f>COUNTIF('[1]Raw data'!$A$3:$A$211,C35)</f>
        <v>1</v>
      </c>
      <c r="C35" s="7" t="str">
        <f t="shared" si="0"/>
        <v>MICROSD_11X15_8_P3065KED24B3_PHNXX2MH3P06A</v>
      </c>
      <c r="D35" s="7" t="s">
        <v>78</v>
      </c>
      <c r="E35" s="7" t="s">
        <v>255</v>
      </c>
      <c r="F35" s="7">
        <f t="shared" si="1"/>
        <v>8</v>
      </c>
      <c r="G35" s="7" t="s">
        <v>283</v>
      </c>
      <c r="H35" s="7" t="s">
        <v>275</v>
      </c>
      <c r="J35" s="7" t="str">
        <f>VLOOKUP(M35,[2]Plan_82!$C$5:$L$420,9,0)</f>
        <v>24nm 64Gb EX3</v>
      </c>
      <c r="K35" s="7" t="str">
        <f>VLOOKUP(M35,[2]Plan_82!$C$5:$H$420,5,0)</f>
        <v>20-81-00303</v>
      </c>
      <c r="L35" s="7" t="s">
        <v>137</v>
      </c>
      <c r="M35" s="7" t="s">
        <v>138</v>
      </c>
      <c r="N35" s="7" t="str">
        <f t="shared" si="2"/>
        <v>54-82-08651-064G</v>
      </c>
      <c r="O35" s="7" t="s">
        <v>139</v>
      </c>
      <c r="P35" s="7" t="s">
        <v>140</v>
      </c>
      <c r="Q35" s="7" t="s">
        <v>94</v>
      </c>
      <c r="R35" s="7" t="s">
        <v>99</v>
      </c>
      <c r="S35" s="7" t="s">
        <v>141</v>
      </c>
      <c r="T35" s="7">
        <v>8</v>
      </c>
      <c r="U35" s="9">
        <v>3000</v>
      </c>
      <c r="V35" s="7">
        <f t="shared" si="3"/>
        <v>24000</v>
      </c>
      <c r="W35" s="13">
        <f>LOOKUP(2,1/([1]UPH!$A$3:$A$211=C35),[1]UPH!$CJ$3:$CJ$211)</f>
        <v>1101.3992716120376</v>
      </c>
      <c r="X35" s="13">
        <f>LOOKUP(2,1/([1]UPH!$A$3:$A$211=C35),[1]UPH!$CK$3:$CK$211)</f>
        <v>550.88533608389196</v>
      </c>
      <c r="Y35" s="13">
        <f>LOOKUP(2,1/([1]UPH!$A$3:$A$211=C35),[1]UPH!$CL$3:$CL$211)</f>
        <v>191.38830616965197</v>
      </c>
      <c r="Z35" s="13">
        <f>LOOKUP(2,1/([1]UPH!$A$3:$A$211=C35),[1]UPH!$CM$3:$CM$211)</f>
        <v>51.219512195121951</v>
      </c>
      <c r="AA35" s="13">
        <v>24</v>
      </c>
      <c r="AB35" s="13">
        <f>LOOKUP(2,1/([1]UPH!$A$3:$A$211=C35),[1]UPH!$CO$3:$CO$211)</f>
        <v>10152</v>
      </c>
      <c r="AC35" s="25">
        <f>VLOOKUP(G35,[1]Tech!$B$2:$E$22,4,0)</f>
        <v>340</v>
      </c>
      <c r="AD35" s="23">
        <f t="shared" si="13"/>
        <v>1062.5</v>
      </c>
      <c r="AE35" s="24">
        <f t="shared" si="14"/>
        <v>2.8235294117647061</v>
      </c>
      <c r="AF35" s="7">
        <f>VLOOKUP(E35,'[1]Lot size'!$C$2:$E$20,3,0)</f>
        <v>80</v>
      </c>
      <c r="AG35" s="7">
        <f t="shared" si="6"/>
        <v>10</v>
      </c>
      <c r="AH35" s="7">
        <f t="shared" si="7"/>
        <v>1</v>
      </c>
      <c r="AI35" s="7">
        <f t="shared" si="8"/>
        <v>800</v>
      </c>
      <c r="AJ35" s="7">
        <f t="shared" si="9"/>
        <v>800</v>
      </c>
      <c r="AK35" s="12">
        <f t="shared" si="10"/>
        <v>5.6470588235294121</v>
      </c>
    </row>
    <row r="36" spans="1:37">
      <c r="A36" s="7" t="s">
        <v>78</v>
      </c>
      <c r="B36" s="7">
        <f>COUNTIF('[1]Raw data'!$A$3:$A$211,C36)</f>
        <v>1</v>
      </c>
      <c r="C36" s="7" t="str">
        <f t="shared" si="0"/>
        <v>MICROSD_11X15_2_P3032KED32B3_PHNXX2UX3P09B</v>
      </c>
      <c r="D36" s="7" t="s">
        <v>78</v>
      </c>
      <c r="E36" s="7" t="s">
        <v>255</v>
      </c>
      <c r="F36" s="7">
        <f t="shared" si="1"/>
        <v>2</v>
      </c>
      <c r="G36" s="7" t="s">
        <v>284</v>
      </c>
      <c r="H36" s="7" t="s">
        <v>276</v>
      </c>
      <c r="J36" s="7" t="str">
        <f>VLOOKUP(M36,[2]Plan_82!$C$5:$L$420,9,0)</f>
        <v>32nm 32Gb EX3</v>
      </c>
      <c r="K36" s="7" t="str">
        <f>VLOOKUP(M36,[2]Plan_82!$C$5:$H$420,5,0)</f>
        <v>20-81-00251</v>
      </c>
      <c r="L36" s="7" t="s">
        <v>52</v>
      </c>
      <c r="M36" s="7" t="s">
        <v>142</v>
      </c>
      <c r="N36" s="7" t="str">
        <f t="shared" si="2"/>
        <v>54-82-05855-008G</v>
      </c>
      <c r="O36" s="7" t="s">
        <v>92</v>
      </c>
      <c r="P36" s="7" t="s">
        <v>143</v>
      </c>
      <c r="Q36" s="7" t="s">
        <v>27</v>
      </c>
      <c r="R36" s="7" t="s">
        <v>36</v>
      </c>
      <c r="S36" s="7" t="s">
        <v>144</v>
      </c>
      <c r="T36" s="7">
        <v>2</v>
      </c>
      <c r="U36" s="9">
        <v>160000</v>
      </c>
      <c r="V36" s="7">
        <f t="shared" si="3"/>
        <v>320000</v>
      </c>
      <c r="W36" s="13">
        <f>LOOKUP(2,1/([1]UPH!$A$3:$A$211=C36),[1]UPH!$CJ$3:$CJ$211)</f>
        <v>8634.2557965594624</v>
      </c>
      <c r="X36" s="13">
        <f>LOOKUP(2,1/([1]UPH!$A$3:$A$211=C36),[1]UPH!$CK$3:$CK$211)</f>
        <v>3411.7647058823527</v>
      </c>
      <c r="Y36" s="13">
        <f>LOOKUP(2,1/([1]UPH!$A$3:$A$211=C36),[1]UPH!$CL$3:$CL$211)</f>
        <v>2262.2129436325677</v>
      </c>
      <c r="Z36" s="13">
        <f>LOOKUP(2,1/([1]UPH!$A$3:$A$211=C36),[1]UPH!$CM$3:$CM$211)</f>
        <v>637.25490196078431</v>
      </c>
      <c r="AA36" s="13">
        <f>LOOKUP(2,1/([1]UPH!$A$3:$A$211=C36),[1]UPH!$CN$3:$CN$211)</f>
        <v>130</v>
      </c>
      <c r="AB36" s="13">
        <f>LOOKUP(2,1/([1]UPH!$A$3:$A$211=C36),[1]UPH!$CO$3:$CO$211)</f>
        <v>13536</v>
      </c>
      <c r="AC36" s="25">
        <f>VLOOKUP(G36,[1]Tech!$B$2:$E$22,4,0)</f>
        <v>480</v>
      </c>
      <c r="AD36" s="23">
        <f t="shared" si="13"/>
        <v>6000</v>
      </c>
      <c r="AE36" s="24">
        <f t="shared" si="14"/>
        <v>26.666666666666668</v>
      </c>
      <c r="AF36" s="7">
        <f>VLOOKUP(E36,'[1]Lot size'!$C$2:$E$20,3,0)</f>
        <v>80</v>
      </c>
      <c r="AG36" s="7">
        <f t="shared" si="6"/>
        <v>20</v>
      </c>
      <c r="AH36" s="7">
        <f t="shared" si="7"/>
        <v>4</v>
      </c>
      <c r="AI36" s="7">
        <f t="shared" si="8"/>
        <v>1600</v>
      </c>
      <c r="AJ36" s="7">
        <f t="shared" si="9"/>
        <v>6400</v>
      </c>
      <c r="AK36" s="12">
        <f t="shared" si="10"/>
        <v>26.666666666666668</v>
      </c>
    </row>
    <row r="37" spans="1:37">
      <c r="A37" s="7" t="s">
        <v>78</v>
      </c>
      <c r="B37" s="7">
        <f>COUNTIF('[1]Raw data'!$A$3:$A$211,C37)</f>
        <v>1</v>
      </c>
      <c r="C37" s="7" t="str">
        <f t="shared" si="0"/>
        <v>MICROSD_11X15_2_P3032KED32B3_PHNXX2UX3P09A</v>
      </c>
      <c r="D37" s="7" t="s">
        <v>78</v>
      </c>
      <c r="E37" s="7" t="s">
        <v>255</v>
      </c>
      <c r="F37" s="7">
        <f t="shared" si="1"/>
        <v>2</v>
      </c>
      <c r="G37" s="7" t="s">
        <v>284</v>
      </c>
      <c r="H37" s="7" t="s">
        <v>288</v>
      </c>
      <c r="J37" s="7" t="str">
        <f>VLOOKUP(M37,[2]Plan_82!$C$5:$L$420,9,0)</f>
        <v>32nm 32Gb EX3</v>
      </c>
      <c r="K37" s="7" t="str">
        <f>VLOOKUP(M37,[2]Plan_82!$C$5:$H$420,5,0)</f>
        <v>20-81-00251</v>
      </c>
      <c r="L37" s="7">
        <v>8192</v>
      </c>
      <c r="M37" s="7" t="s">
        <v>145</v>
      </c>
      <c r="N37" s="7" t="str">
        <f t="shared" si="2"/>
        <v>54-82-08700-008G</v>
      </c>
      <c r="O37" s="7" t="s">
        <v>81</v>
      </c>
      <c r="P37" s="7" t="s">
        <v>146</v>
      </c>
      <c r="Q37" s="7" t="s">
        <v>27</v>
      </c>
      <c r="R37" s="7" t="s">
        <v>147</v>
      </c>
      <c r="S37" s="7" t="s">
        <v>148</v>
      </c>
      <c r="T37" s="7">
        <v>2</v>
      </c>
      <c r="U37" s="9">
        <f>0+70000</f>
        <v>70000</v>
      </c>
      <c r="V37" s="7">
        <f t="shared" si="3"/>
        <v>140000</v>
      </c>
      <c r="W37" s="13">
        <f>LOOKUP(2,1/([1]UPH!$A$3:$A$211=C37),[1]UPH!$CJ$3:$CJ$211)</f>
        <v>8634.2557965594624</v>
      </c>
      <c r="X37" s="13">
        <f>LOOKUP(2,1/([1]UPH!$A$3:$A$211=C37),[1]UPH!$CK$3:$CK$211)</f>
        <v>3411.7647058823527</v>
      </c>
      <c r="Y37" s="13">
        <f>LOOKUP(2,1/([1]UPH!$A$3:$A$211=C37),[1]UPH!$CL$3:$CL$211)</f>
        <v>2262.2129436325677</v>
      </c>
      <c r="Z37" s="13">
        <f>LOOKUP(2,1/([1]UPH!$A$3:$A$211=C37),[1]UPH!$CM$3:$CM$211)</f>
        <v>637.25490196078431</v>
      </c>
      <c r="AA37" s="13">
        <f>LOOKUP(2,1/([1]UPH!$A$3:$A$211=C37),[1]UPH!$CN$3:$CN$211)</f>
        <v>130</v>
      </c>
      <c r="AB37" s="13">
        <f>LOOKUP(2,1/([1]UPH!$A$3:$A$211=C37),[1]UPH!$CO$3:$CO$211)</f>
        <v>13536</v>
      </c>
      <c r="AC37" s="25">
        <f>VLOOKUP(G37,[1]Tech!$B$2:$E$22,4,0)</f>
        <v>480</v>
      </c>
      <c r="AD37" s="23">
        <f t="shared" si="13"/>
        <v>6000</v>
      </c>
      <c r="AE37" s="24">
        <f t="shared" si="14"/>
        <v>11.666666666666666</v>
      </c>
      <c r="AF37" s="7">
        <f>VLOOKUP(E37,'[1]Lot size'!$C$2:$E$20,3,0)</f>
        <v>80</v>
      </c>
      <c r="AG37" s="7">
        <f t="shared" si="6"/>
        <v>20</v>
      </c>
      <c r="AH37" s="7">
        <f t="shared" si="7"/>
        <v>4</v>
      </c>
      <c r="AI37" s="7">
        <f t="shared" si="8"/>
        <v>1600</v>
      </c>
      <c r="AJ37" s="7">
        <f t="shared" si="9"/>
        <v>6400</v>
      </c>
      <c r="AK37" s="12">
        <f t="shared" si="10"/>
        <v>11.666666666666666</v>
      </c>
    </row>
    <row r="38" spans="1:37">
      <c r="A38" s="7" t="s">
        <v>78</v>
      </c>
      <c r="B38" s="7">
        <f>COUNTIF('[1]Raw data'!$A$3:$A$211,C38)</f>
        <v>1</v>
      </c>
      <c r="C38" s="7" t="str">
        <f t="shared" si="0"/>
        <v>MICROSD_11X15_1_P3065KED24B3_PHNXX2MH3P06A</v>
      </c>
      <c r="D38" s="7" t="s">
        <v>78</v>
      </c>
      <c r="E38" s="7" t="s">
        <v>255</v>
      </c>
      <c r="F38" s="7">
        <f t="shared" si="1"/>
        <v>1</v>
      </c>
      <c r="G38" s="7" t="s">
        <v>283</v>
      </c>
      <c r="H38" s="7" t="s">
        <v>275</v>
      </c>
      <c r="J38" s="7" t="str">
        <f>VLOOKUP(M38,[2]Plan_82!$C$5:$L$420,9,0)</f>
        <v>24nm 64Gb EX3</v>
      </c>
      <c r="K38" s="7" t="str">
        <f>VLOOKUP(M38,[2]Plan_82!$C$5:$H$420,5,0)</f>
        <v>20-81-00303</v>
      </c>
      <c r="L38" s="7" t="s">
        <v>52</v>
      </c>
      <c r="M38" s="7" t="s">
        <v>149</v>
      </c>
      <c r="N38" s="7" t="str">
        <f t="shared" si="2"/>
        <v>54-82-08088-008G</v>
      </c>
      <c r="O38" s="7" t="s">
        <v>81</v>
      </c>
      <c r="P38" s="7" t="s">
        <v>150</v>
      </c>
      <c r="Q38" s="7" t="s">
        <v>98</v>
      </c>
      <c r="R38" s="7" t="s">
        <v>99</v>
      </c>
      <c r="S38" s="7" t="s">
        <v>151</v>
      </c>
      <c r="T38" s="7">
        <v>1</v>
      </c>
      <c r="U38" s="9">
        <v>62000</v>
      </c>
      <c r="V38" s="7">
        <f t="shared" si="3"/>
        <v>62000</v>
      </c>
      <c r="W38" s="13">
        <f>LOOKUP(2,1/([1]UPH!$A$3:$A$211=C38),[1]UPH!$CJ$3:$CJ$211)</f>
        <v>16185.915492957747</v>
      </c>
      <c r="X38" s="13">
        <f>LOOKUP(2,1/([1]UPH!$A$3:$A$211=C38),[1]UPH!$CK$3:$CK$211)</f>
        <v>7508.5065199674009</v>
      </c>
      <c r="Y38" s="13">
        <f>LOOKUP(2,1/([1]UPH!$A$3:$A$211=C38),[1]UPH!$CL$3:$CL$211)</f>
        <v>2959.5580602105888</v>
      </c>
      <c r="Z38" s="13">
        <f>LOOKUP(2,1/([1]UPH!$A$3:$A$211=C38),[1]UPH!$CM$3:$CM$211)</f>
        <v>897.61904761904771</v>
      </c>
      <c r="AA38" s="13">
        <f>LOOKUP(2,1/([1]UPH!$A$3:$A$211=C38),[1]UPH!$CN$3:$CN$211)</f>
        <v>270</v>
      </c>
      <c r="AB38" s="13">
        <f>LOOKUP(2,1/([1]UPH!$A$3:$A$211=C38),[1]UPH!$CO$3:$CO$211)</f>
        <v>13536</v>
      </c>
      <c r="AC38" s="25">
        <f>VLOOKUP(G38,[1]Tech!$B$2:$E$22,4,0)</f>
        <v>340</v>
      </c>
      <c r="AD38" s="23">
        <f t="shared" si="13"/>
        <v>8500</v>
      </c>
      <c r="AE38" s="24">
        <f t="shared" si="14"/>
        <v>7.2941176470588234</v>
      </c>
      <c r="AF38" s="7">
        <f>VLOOKUP(E38,'[1]Lot size'!$C$2:$E$20,3,0)</f>
        <v>80</v>
      </c>
      <c r="AG38" s="7">
        <f t="shared" si="6"/>
        <v>20</v>
      </c>
      <c r="AH38" s="7">
        <f t="shared" si="7"/>
        <v>4</v>
      </c>
      <c r="AI38" s="7">
        <f t="shared" si="8"/>
        <v>1600</v>
      </c>
      <c r="AJ38" s="7">
        <f t="shared" si="9"/>
        <v>6400</v>
      </c>
      <c r="AK38" s="12">
        <f t="shared" si="10"/>
        <v>14.588235294117647</v>
      </c>
    </row>
    <row r="39" spans="1:37">
      <c r="A39" s="7" t="s">
        <v>152</v>
      </c>
      <c r="B39" s="7">
        <f>COUNTIF('[1]Raw data'!$A$3:$A$211,C39)</f>
        <v>1</v>
      </c>
      <c r="C39" s="7" t="str">
        <f t="shared" si="0"/>
        <v>MSPRODUO_15X10_1_P3016KED32B3_PHNXX2MR3P06A</v>
      </c>
      <c r="D39" s="7" t="s">
        <v>152</v>
      </c>
      <c r="E39" s="7" t="s">
        <v>248</v>
      </c>
      <c r="F39" s="7">
        <f t="shared" si="1"/>
        <v>1</v>
      </c>
      <c r="G39" s="7" t="s">
        <v>274</v>
      </c>
      <c r="H39" s="7" t="s">
        <v>286</v>
      </c>
      <c r="J39" s="7" t="str">
        <f>VLOOKUP(M39,[2]Plan_82!$C$5:$L$420,9,0)</f>
        <v>32nm 16Gb EX3</v>
      </c>
      <c r="K39" s="7" t="str">
        <f>VLOOKUP(M39,[2]Plan_82!$C$5:$H$420,5,0)</f>
        <v>20-81-00277</v>
      </c>
      <c r="L39" s="7" t="s">
        <v>18</v>
      </c>
      <c r="M39" s="7" t="s">
        <v>153</v>
      </c>
      <c r="N39" s="7" t="str">
        <f t="shared" si="2"/>
        <v>54-82-06545-002G</v>
      </c>
      <c r="O39" s="7" t="s">
        <v>247</v>
      </c>
      <c r="P39" s="7" t="s">
        <v>154</v>
      </c>
      <c r="Q39" s="7" t="s">
        <v>116</v>
      </c>
      <c r="R39" s="7" t="s">
        <v>117</v>
      </c>
      <c r="S39" s="7" t="s">
        <v>155</v>
      </c>
      <c r="T39" s="7">
        <v>1</v>
      </c>
      <c r="U39" s="9">
        <v>20000</v>
      </c>
      <c r="V39" s="7">
        <f t="shared" si="3"/>
        <v>20000</v>
      </c>
      <c r="W39" s="13">
        <f>LOOKUP(2,1/([1]UPH!$A$3:$A$211=C39),[1]UPH!$CJ$3:$CJ$211)</f>
        <v>39772.727272727272</v>
      </c>
      <c r="X39" s="13">
        <f>LOOKUP(2,1/([1]UPH!$A$3:$A$211=C39),[1]UPH!$CK$3:$CK$211)</f>
        <v>18295.454545454548</v>
      </c>
      <c r="Y39" s="13">
        <f>LOOKUP(2,1/([1]UPH!$A$3:$A$211=C39),[1]UPH!$CL$3:$CL$211)</f>
        <v>4666.666666666667</v>
      </c>
      <c r="Z39" s="13">
        <f>LOOKUP(2,1/([1]UPH!$A$3:$A$211=C39),[1]UPH!$CM$3:$CM$211)</f>
        <v>944.18604651162798</v>
      </c>
      <c r="AA39" s="13">
        <f>LOOKUP(2,1/([1]UPH!$A$3:$A$211=C39),[1]UPH!$CN$3:$CN$211)</f>
        <v>370</v>
      </c>
      <c r="AB39" s="13">
        <f>LOOKUP(2,1/([1]UPH!$A$3:$A$211=C39),[1]UPH!$CO$3:$CO$211)</f>
        <v>14889.6</v>
      </c>
      <c r="AC39" s="25">
        <f>VLOOKUP(G39,[1]Tech!$B$2:$E$22,4,0)</f>
        <v>840</v>
      </c>
      <c r="AD39" s="23">
        <f t="shared" si="13"/>
        <v>21000</v>
      </c>
      <c r="AE39" s="24">
        <f t="shared" si="14"/>
        <v>0.95238095238095233</v>
      </c>
      <c r="AF39" s="7">
        <f>VLOOKUP(E39,'[1]Lot size'!$C$2:$E$20,3,0)</f>
        <v>88</v>
      </c>
      <c r="AG39" s="7">
        <f t="shared" si="6"/>
        <v>20</v>
      </c>
      <c r="AH39" s="7">
        <f t="shared" si="7"/>
        <v>4</v>
      </c>
      <c r="AI39" s="7">
        <f t="shared" si="8"/>
        <v>1760</v>
      </c>
      <c r="AJ39" s="7">
        <f t="shared" si="9"/>
        <v>7040</v>
      </c>
      <c r="AK39" s="12">
        <f t="shared" si="10"/>
        <v>2.8571428571428568</v>
      </c>
    </row>
    <row r="40" spans="1:37">
      <c r="A40" s="7" t="s">
        <v>152</v>
      </c>
      <c r="B40" s="7">
        <f>COUNTIF('[1]Raw data'!$A$3:$A$211,C40)</f>
        <v>1</v>
      </c>
      <c r="C40" s="7" t="str">
        <f t="shared" si="0"/>
        <v>MSPRODUO_15X18_1_P3032KED32B3_PHNXX2UX3P09B</v>
      </c>
      <c r="D40" s="7" t="s">
        <v>152</v>
      </c>
      <c r="E40" s="7" t="s">
        <v>257</v>
      </c>
      <c r="F40" s="7">
        <f t="shared" si="1"/>
        <v>1</v>
      </c>
      <c r="G40" s="7" t="s">
        <v>284</v>
      </c>
      <c r="H40" s="7" t="s">
        <v>276</v>
      </c>
      <c r="J40" s="7" t="str">
        <f>VLOOKUP(M40,[2]Plan_82!$C$5:$L$420,9,0)</f>
        <v>32nm 32Gb EX3</v>
      </c>
      <c r="K40" s="7" t="str">
        <f>VLOOKUP(M40,[2]Plan_82!$C$5:$H$420,5,0)</f>
        <v>20-81-00251</v>
      </c>
      <c r="L40" s="7" t="s">
        <v>44</v>
      </c>
      <c r="M40" s="7" t="s">
        <v>156</v>
      </c>
      <c r="N40" s="7" t="str">
        <f t="shared" si="2"/>
        <v>54-82-04630-004G</v>
      </c>
      <c r="O40" s="7" t="s">
        <v>256</v>
      </c>
      <c r="P40" s="7" t="s">
        <v>157</v>
      </c>
      <c r="Q40" s="7" t="s">
        <v>158</v>
      </c>
      <c r="R40" s="7" t="s">
        <v>28</v>
      </c>
      <c r="S40" s="7" t="s">
        <v>159</v>
      </c>
      <c r="T40" s="7">
        <v>1</v>
      </c>
      <c r="U40" s="9">
        <v>35000</v>
      </c>
      <c r="V40" s="7">
        <f t="shared" si="3"/>
        <v>35000</v>
      </c>
      <c r="W40" s="13">
        <f>LOOKUP(2,1/([1]UPH!$A$3:$A$211=C40),[1]UPH!$CJ$3:$CJ$211)</f>
        <v>23076.923076923078</v>
      </c>
      <c r="X40" s="13">
        <f>LOOKUP(2,1/([1]UPH!$A$3:$A$211=C40),[1]UPH!$CK$3:$CK$211)</f>
        <v>10615.384615384615</v>
      </c>
      <c r="Y40" s="13">
        <f>LOOKUP(2,1/([1]UPH!$A$3:$A$211=C40),[1]UPH!$CL$3:$CL$211)</f>
        <v>3564.4736842105267</v>
      </c>
      <c r="Z40" s="13">
        <f>LOOKUP(2,1/([1]UPH!$A$3:$A$211=C40),[1]UPH!$CM$3:$CM$211)</f>
        <v>944.18604651162798</v>
      </c>
      <c r="AA40" s="13">
        <f>LOOKUP(2,1/([1]UPH!$A$3:$A$211=C40),[1]UPH!$CN$3:$CN$211)</f>
        <v>275</v>
      </c>
      <c r="AB40" s="13">
        <f>LOOKUP(2,1/([1]UPH!$A$3:$A$211=C40),[1]UPH!$CO$3:$CO$211)</f>
        <v>8121.6</v>
      </c>
      <c r="AC40" s="25">
        <f>VLOOKUP(G40,[1]Tech!$B$2:$E$22,4,0)</f>
        <v>480</v>
      </c>
      <c r="AD40" s="23">
        <f t="shared" si="13"/>
        <v>12000</v>
      </c>
      <c r="AE40" s="24">
        <f t="shared" si="14"/>
        <v>2.9166666666666665</v>
      </c>
      <c r="AF40" s="7">
        <f>VLOOKUP(E40,'[1]Lot size'!$C$2:$E$20,3,0)</f>
        <v>48</v>
      </c>
      <c r="AG40" s="7">
        <f t="shared" si="6"/>
        <v>20</v>
      </c>
      <c r="AH40" s="7">
        <f t="shared" si="7"/>
        <v>4</v>
      </c>
      <c r="AI40" s="7">
        <f t="shared" si="8"/>
        <v>960</v>
      </c>
      <c r="AJ40" s="7">
        <f t="shared" si="9"/>
        <v>3840</v>
      </c>
      <c r="AK40" s="12">
        <f t="shared" si="10"/>
        <v>11.666666666666666</v>
      </c>
    </row>
    <row r="41" spans="1:37">
      <c r="A41" s="7" t="s">
        <v>160</v>
      </c>
      <c r="B41" s="7">
        <f>COUNTIF('[1]Raw data'!$A$3:$A$211,C41)</f>
        <v>1</v>
      </c>
      <c r="C41" s="7" t="str">
        <f t="shared" si="0"/>
        <v>LGA_14X18_4_P3065KMA24B3_NA</v>
      </c>
      <c r="D41" s="7" t="s">
        <v>245</v>
      </c>
      <c r="E41" s="7" t="s">
        <v>253</v>
      </c>
      <c r="F41" s="7">
        <f t="shared" si="1"/>
        <v>4</v>
      </c>
      <c r="G41" s="7" t="s">
        <v>289</v>
      </c>
      <c r="H41" s="7" t="s">
        <v>280</v>
      </c>
      <c r="J41" s="7" t="str">
        <f>VLOOKUP(M41,[2]Plan_82!$C$5:$L$420,9,0)</f>
        <v>24nm 64Gb D2A</v>
      </c>
      <c r="K41" s="7">
        <f>VLOOKUP(M41,[2]Plan_82!$C$5:$H$420,5,0)</f>
        <v>0</v>
      </c>
      <c r="L41" s="7" t="s">
        <v>39</v>
      </c>
      <c r="M41" s="7" t="s">
        <v>161</v>
      </c>
      <c r="N41" s="7" t="str">
        <f t="shared" si="2"/>
        <v>54-82-05056-032G</v>
      </c>
      <c r="O41" s="7" t="s">
        <v>258</v>
      </c>
      <c r="P41" s="7" t="s">
        <v>162</v>
      </c>
      <c r="Q41" s="7" t="s">
        <v>163</v>
      </c>
      <c r="R41" s="7" t="s">
        <v>69</v>
      </c>
      <c r="S41" s="7" t="s">
        <v>164</v>
      </c>
      <c r="T41" s="7">
        <v>4</v>
      </c>
      <c r="U41" s="9">
        <v>17000</v>
      </c>
      <c r="V41" s="7">
        <f t="shared" si="3"/>
        <v>68000</v>
      </c>
      <c r="W41" s="13">
        <f>LOOKUP(2,1/([1]UPH!$A$3:$A$211=C41),[1]UPH!$CJ$3:$CJ$211)</f>
        <v>2497.5</v>
      </c>
      <c r="X41" s="13">
        <f>LOOKUP(2,1/([1]UPH!$A$3:$A$211=C41),[1]UPH!$CK$3:$CK$211)</f>
        <v>978.74999999999989</v>
      </c>
      <c r="Y41" s="13">
        <f>LOOKUP(2,1/([1]UPH!$A$3:$A$211=C41),[1]UPH!$CL$3:$CL$211)</f>
        <v>540</v>
      </c>
      <c r="Z41" s="13">
        <f>LOOKUP(2,1/([1]UPH!$A$3:$A$211=C41),[1]UPH!$CM$3:$CM$211)</f>
        <v>400</v>
      </c>
      <c r="AA41" s="13">
        <f>LOOKUP(2,1/([1]UPH!$A$3:$A$211=C41),[1]UPH!$CN$3:$CN$211)</f>
        <v>80</v>
      </c>
      <c r="AB41" s="13">
        <f>LOOKUP(2,1/([1]UPH!$A$3:$A$211=C41),[1]UPH!$CO$3:$CO$211)</f>
        <v>8121.6</v>
      </c>
      <c r="AC41" s="25">
        <f>VLOOKUP(G41,[1]Tech!$B$2:$E$22,4,0)</f>
        <v>270</v>
      </c>
      <c r="AD41" s="23">
        <f t="shared" si="13"/>
        <v>1687.5</v>
      </c>
      <c r="AE41" s="24">
        <f t="shared" si="14"/>
        <v>10.074074074074074</v>
      </c>
      <c r="AF41" s="7">
        <f>VLOOKUP(E41,'[1]Lot size'!$C$2:$E$20,3,0)</f>
        <v>48</v>
      </c>
      <c r="AG41" s="7">
        <f t="shared" si="6"/>
        <v>10</v>
      </c>
      <c r="AH41" s="7">
        <f t="shared" si="7"/>
        <v>2</v>
      </c>
      <c r="AI41" s="7">
        <f t="shared" si="8"/>
        <v>480</v>
      </c>
      <c r="AJ41" s="7">
        <f t="shared" si="9"/>
        <v>960</v>
      </c>
      <c r="AK41" s="12">
        <f t="shared" si="10"/>
        <v>20.148148148148149</v>
      </c>
    </row>
    <row r="42" spans="1:37">
      <c r="A42" s="7" t="s">
        <v>160</v>
      </c>
      <c r="B42" s="7">
        <f>COUNTIF('[1]Raw data'!$A$3:$A$211,C42)</f>
        <v>1</v>
      </c>
      <c r="C42" s="7" t="str">
        <f t="shared" si="0"/>
        <v>LGA_14X18_8_P3065KMA24B3_NA</v>
      </c>
      <c r="D42" s="7" t="s">
        <v>245</v>
      </c>
      <c r="E42" s="7" t="s">
        <v>253</v>
      </c>
      <c r="F42" s="7">
        <f t="shared" si="1"/>
        <v>8</v>
      </c>
      <c r="G42" s="7" t="s">
        <v>289</v>
      </c>
      <c r="H42" s="7" t="s">
        <v>280</v>
      </c>
      <c r="J42" s="7" t="str">
        <f>VLOOKUP(M42,[2]Plan_82!$C$5:$L$420,9,0)</f>
        <v>24nm 64Gb D2A</v>
      </c>
      <c r="K42" s="7">
        <f>VLOOKUP(M42,[2]Plan_82!$C$5:$H$420,5,0)</f>
        <v>0</v>
      </c>
      <c r="L42" s="7" t="s">
        <v>137</v>
      </c>
      <c r="M42" s="7" t="s">
        <v>165</v>
      </c>
      <c r="N42" s="7" t="str">
        <f t="shared" si="2"/>
        <v>54-82-05056-064G</v>
      </c>
      <c r="O42" s="7" t="s">
        <v>166</v>
      </c>
      <c r="P42" s="7" t="s">
        <v>167</v>
      </c>
      <c r="Q42" s="7" t="s">
        <v>163</v>
      </c>
      <c r="R42" s="7" t="s">
        <v>69</v>
      </c>
      <c r="S42" s="7" t="s">
        <v>164</v>
      </c>
      <c r="T42" s="7">
        <v>8</v>
      </c>
      <c r="U42" s="9">
        <v>12700</v>
      </c>
      <c r="V42" s="7">
        <f t="shared" si="3"/>
        <v>101600</v>
      </c>
      <c r="W42" s="13">
        <f>LOOKUP(2,1/([1]UPH!$A$3:$A$211=C42),[1]UPH!$CJ$3:$CJ$211)</f>
        <v>877.5</v>
      </c>
      <c r="X42" s="13">
        <f>LOOKUP(2,1/([1]UPH!$A$3:$A$211=C42),[1]UPH!$CK$3:$CK$211)</f>
        <v>489.37499999999994</v>
      </c>
      <c r="Y42" s="13">
        <f>LOOKUP(2,1/([1]UPH!$A$3:$A$211=C42),[1]UPH!$CL$3:$CL$211)</f>
        <v>202.5</v>
      </c>
      <c r="Z42" s="13">
        <f>LOOKUP(2,1/([1]UPH!$A$3:$A$211=C42),[1]UPH!$CM$3:$CM$211)</f>
        <v>80</v>
      </c>
      <c r="AA42" s="13">
        <f>LOOKUP(2,1/([1]UPH!$A$3:$A$211=C42),[1]UPH!$CN$3:$CN$211)</f>
        <v>35</v>
      </c>
      <c r="AB42" s="13">
        <f>LOOKUP(2,1/([1]UPH!$A$3:$A$211=C42),[1]UPH!$CO$3:$CO$211)</f>
        <v>8121.6</v>
      </c>
      <c r="AC42" s="25">
        <f>VLOOKUP(G42,[1]Tech!$B$2:$E$22,4,0)</f>
        <v>270</v>
      </c>
      <c r="AD42" s="23">
        <f t="shared" si="13"/>
        <v>843.75</v>
      </c>
      <c r="AE42" s="24">
        <f t="shared" si="14"/>
        <v>15.051851851851852</v>
      </c>
      <c r="AF42" s="7">
        <f>VLOOKUP(E42,'[1]Lot size'!$C$2:$E$20,3,0)</f>
        <v>48</v>
      </c>
      <c r="AG42" s="7">
        <f t="shared" si="6"/>
        <v>10</v>
      </c>
      <c r="AH42" s="7">
        <f t="shared" si="7"/>
        <v>1</v>
      </c>
      <c r="AI42" s="7">
        <f t="shared" si="8"/>
        <v>480</v>
      </c>
      <c r="AJ42" s="7">
        <f t="shared" si="9"/>
        <v>480</v>
      </c>
      <c r="AK42" s="12">
        <f t="shared" si="10"/>
        <v>30.103703703703705</v>
      </c>
    </row>
    <row r="43" spans="1:37">
      <c r="A43" s="7" t="s">
        <v>168</v>
      </c>
      <c r="B43" s="7">
        <f>COUNTIF('[1]Raw data'!$A$3:$A$211,C43)</f>
        <v>1</v>
      </c>
      <c r="C43" s="7" t="str">
        <f t="shared" si="0"/>
        <v>SD_21.35X10.1_2_P3065KED24B3_PHNXX2MH3P06A</v>
      </c>
      <c r="D43" s="7" t="s">
        <v>168</v>
      </c>
      <c r="E43" s="7" t="s">
        <v>260</v>
      </c>
      <c r="F43" s="7">
        <f t="shared" si="1"/>
        <v>2</v>
      </c>
      <c r="G43" s="7" t="s">
        <v>283</v>
      </c>
      <c r="H43" s="7" t="s">
        <v>275</v>
      </c>
      <c r="J43" s="7" t="str">
        <f>VLOOKUP(M43,[2]Plan_82!$C$5:$L$420,9,0)</f>
        <v>24nm 64Gb EX3</v>
      </c>
      <c r="K43" s="7" t="str">
        <f>VLOOKUP(M43,[2]Plan_82!$C$5:$H$420,5,0)</f>
        <v>20-81-00303</v>
      </c>
      <c r="L43" s="7" t="s">
        <v>25</v>
      </c>
      <c r="M43" s="7" t="s">
        <v>169</v>
      </c>
      <c r="N43" s="7" t="str">
        <f t="shared" si="2"/>
        <v>54-82-08211-016G</v>
      </c>
      <c r="O43" s="7" t="s">
        <v>259</v>
      </c>
      <c r="P43" s="7" t="s">
        <v>171</v>
      </c>
      <c r="Q43" s="7" t="s">
        <v>98</v>
      </c>
      <c r="R43" s="7" t="s">
        <v>99</v>
      </c>
      <c r="S43" s="7" t="s">
        <v>172</v>
      </c>
      <c r="T43" s="7">
        <v>2</v>
      </c>
      <c r="U43" s="9">
        <v>129392</v>
      </c>
      <c r="V43" s="7">
        <f t="shared" si="3"/>
        <v>258784</v>
      </c>
      <c r="W43" s="13">
        <f>LOOKUP(2,1/([1]UPH!$A$3:$A$211=C43),[1]UPH!$CJ$3:$CJ$211)</f>
        <v>8390.2809415337888</v>
      </c>
      <c r="X43" s="13">
        <f>LOOKUP(2,1/([1]UPH!$A$3:$A$211=C43),[1]UPH!$CK$3:$CK$211)</f>
        <v>3859.5292331055434</v>
      </c>
      <c r="Y43" s="13">
        <f>LOOKUP(2,1/([1]UPH!$A$3:$A$211=C43),[1]UPH!$CL$3:$CL$211)</f>
        <v>1767.1389356238378</v>
      </c>
      <c r="Z43" s="13">
        <f>LOOKUP(2,1/([1]UPH!$A$3:$A$211=C43),[1]UPH!$CM$3:$CM$211)</f>
        <v>646.15384615384608</v>
      </c>
      <c r="AA43" s="13">
        <f>LOOKUP(2,1/([1]UPH!$A$3:$A$211=C43),[1]UPH!$CN$3:$CN$211)</f>
        <v>200</v>
      </c>
      <c r="AB43" s="13">
        <f>LOOKUP(2,1/([1]UPH!$A$3:$A$211=C43),[1]UPH!$CO$3:$CO$211)</f>
        <v>11167.2</v>
      </c>
      <c r="AC43" s="25">
        <f>VLOOKUP(G43,[1]Tech!$B$2:$E$22,4,0)</f>
        <v>340</v>
      </c>
      <c r="AD43" s="23">
        <f t="shared" si="13"/>
        <v>4250</v>
      </c>
      <c r="AE43" s="24">
        <f t="shared" si="14"/>
        <v>30.445176470588237</v>
      </c>
      <c r="AF43" s="7">
        <f>VLOOKUP(E43,'[1]Lot size'!$C$2:$E$20,3,0)</f>
        <v>66</v>
      </c>
      <c r="AG43" s="7">
        <f t="shared" si="6"/>
        <v>20</v>
      </c>
      <c r="AH43" s="7">
        <f t="shared" si="7"/>
        <v>4</v>
      </c>
      <c r="AI43" s="7">
        <f t="shared" si="8"/>
        <v>1320</v>
      </c>
      <c r="AJ43" s="7">
        <f t="shared" si="9"/>
        <v>5280</v>
      </c>
      <c r="AK43" s="12">
        <f t="shared" si="10"/>
        <v>30.445176470588237</v>
      </c>
    </row>
    <row r="44" spans="1:37">
      <c r="A44" s="7" t="s">
        <v>168</v>
      </c>
      <c r="B44" s="7">
        <f>COUNTIF('[1]Raw data'!$A$3:$A$211,C44)</f>
        <v>1</v>
      </c>
      <c r="C44" s="7" t="str">
        <f t="shared" si="0"/>
        <v>SD_21.35X13.98_2_P3065KMH24B3_PHNXX2MR3P06A</v>
      </c>
      <c r="D44" s="7" t="s">
        <v>168</v>
      </c>
      <c r="E44" s="7" t="s">
        <v>262</v>
      </c>
      <c r="F44" s="7">
        <f t="shared" si="1"/>
        <v>2</v>
      </c>
      <c r="G44" s="7" t="s">
        <v>278</v>
      </c>
      <c r="H44" s="7" t="s">
        <v>286</v>
      </c>
      <c r="J44" s="7" t="str">
        <f>VLOOKUP(M44,[2]Plan_82!$C$5:$L$420,9,0)</f>
        <v>24nm 64Gb D2H</v>
      </c>
      <c r="K44" s="7" t="str">
        <f>VLOOKUP(M44,[2]Plan_82!$C$5:$H$420,5,0)</f>
        <v>20-81-00277</v>
      </c>
      <c r="L44" s="7" t="s">
        <v>25</v>
      </c>
      <c r="M44" s="7" t="s">
        <v>173</v>
      </c>
      <c r="N44" s="7" t="str">
        <f t="shared" si="2"/>
        <v>54-82-08547-016G</v>
      </c>
      <c r="O44" s="7" t="s">
        <v>261</v>
      </c>
      <c r="P44" s="7" t="s">
        <v>175</v>
      </c>
      <c r="Q44" s="7" t="s">
        <v>176</v>
      </c>
      <c r="R44" s="7" t="s">
        <v>117</v>
      </c>
      <c r="S44" s="7" t="s">
        <v>177</v>
      </c>
      <c r="T44" s="7">
        <v>2</v>
      </c>
      <c r="U44" s="9">
        <v>50050</v>
      </c>
      <c r="V44" s="7">
        <f t="shared" si="3"/>
        <v>100100</v>
      </c>
      <c r="W44" s="13">
        <f>LOOKUP(2,1/([1]UPH!$A$3:$A$211=C44),[1]UPH!$CJ$3:$CJ$211)</f>
        <v>6444.1506939854589</v>
      </c>
      <c r="X44" s="13">
        <f>LOOKUP(2,1/([1]UPH!$A$3:$A$211=C44),[1]UPH!$CK$3:$CK$211)</f>
        <v>2964.3093192333113</v>
      </c>
      <c r="Y44" s="13">
        <f>LOOKUP(2,1/([1]UPH!$A$3:$A$211=C44),[1]UPH!$CL$3:$CL$211)</f>
        <v>1446.0458240946045</v>
      </c>
      <c r="Z44" s="13">
        <f>LOOKUP(2,1/([1]UPH!$A$3:$A$211=C44),[1]UPH!$CM$3:$CM$211)</f>
        <v>646.15384615384608</v>
      </c>
      <c r="AA44" s="13">
        <f>LOOKUP(2,1/([1]UPH!$A$3:$A$211=C44),[1]UPH!$CN$3:$CN$211)</f>
        <v>190</v>
      </c>
      <c r="AB44" s="13">
        <f>LOOKUP(2,1/([1]UPH!$A$3:$A$211=C44),[1]UPH!$CO$3:$CO$211)</f>
        <v>8121.6</v>
      </c>
      <c r="AC44" s="25">
        <f>VLOOKUP(G44,[1]Tech!$B$2:$E$22,4,0)</f>
        <v>260</v>
      </c>
      <c r="AD44" s="23">
        <f t="shared" si="13"/>
        <v>3250</v>
      </c>
      <c r="AE44" s="24">
        <f t="shared" si="14"/>
        <v>15.4</v>
      </c>
      <c r="AF44" s="7">
        <f>VLOOKUP(E44,'[1]Lot size'!$C$2:$E$20,3,0)</f>
        <v>48</v>
      </c>
      <c r="AG44" s="7">
        <f t="shared" si="6"/>
        <v>20</v>
      </c>
      <c r="AH44" s="7">
        <f t="shared" si="7"/>
        <v>4</v>
      </c>
      <c r="AI44" s="7">
        <f t="shared" si="8"/>
        <v>960</v>
      </c>
      <c r="AJ44" s="7">
        <f t="shared" si="9"/>
        <v>3840</v>
      </c>
      <c r="AK44" s="12">
        <f t="shared" si="10"/>
        <v>15.4</v>
      </c>
    </row>
    <row r="45" spans="1:37">
      <c r="A45" s="7" t="s">
        <v>168</v>
      </c>
      <c r="B45" s="7">
        <f>COUNTIF('[1]Raw data'!$A$3:$A$211,C45)</f>
        <v>1</v>
      </c>
      <c r="C45" s="7" t="str">
        <f t="shared" si="0"/>
        <v>SD_21.35X13.98_2_P3065KMH24B3_PHNXX2MR3P06A</v>
      </c>
      <c r="D45" s="7" t="s">
        <v>168</v>
      </c>
      <c r="E45" s="7" t="s">
        <v>262</v>
      </c>
      <c r="F45" s="7">
        <f t="shared" si="1"/>
        <v>2</v>
      </c>
      <c r="G45" s="7" t="s">
        <v>278</v>
      </c>
      <c r="H45" s="7" t="s">
        <v>286</v>
      </c>
      <c r="J45" s="7" t="str">
        <f>VLOOKUP(M45,[2]Plan_82!$C$5:$L$420,9,0)</f>
        <v>24nm 64Gb D2H</v>
      </c>
      <c r="K45" s="7" t="str">
        <f>VLOOKUP(M45,[2]Plan_82!$C$5:$H$420,5,0)</f>
        <v>20-81-00277</v>
      </c>
      <c r="L45" s="7" t="s">
        <v>25</v>
      </c>
      <c r="M45" s="7" t="s">
        <v>173</v>
      </c>
      <c r="N45" s="7" t="str">
        <f t="shared" si="2"/>
        <v>54-82-08547-016G</v>
      </c>
      <c r="O45" s="7" t="s">
        <v>174</v>
      </c>
      <c r="P45" s="7" t="s">
        <v>175</v>
      </c>
      <c r="Q45" s="7" t="s">
        <v>178</v>
      </c>
      <c r="R45" s="7" t="s">
        <v>117</v>
      </c>
      <c r="S45" s="7" t="s">
        <v>177</v>
      </c>
      <c r="T45" s="7">
        <v>2</v>
      </c>
      <c r="U45" s="9">
        <v>19318</v>
      </c>
      <c r="V45" s="7">
        <f t="shared" si="3"/>
        <v>38636</v>
      </c>
      <c r="W45" s="13">
        <f>LOOKUP(2,1/([1]UPH!$A$3:$A$211=C45),[1]UPH!$CJ$3:$CJ$211)</f>
        <v>6444.1506939854589</v>
      </c>
      <c r="X45" s="13">
        <f>LOOKUP(2,1/([1]UPH!$A$3:$A$211=C45),[1]UPH!$CK$3:$CK$211)</f>
        <v>2964.3093192333113</v>
      </c>
      <c r="Y45" s="13">
        <f>LOOKUP(2,1/([1]UPH!$A$3:$A$211=C45),[1]UPH!$CL$3:$CL$211)</f>
        <v>1446.0458240946045</v>
      </c>
      <c r="Z45" s="13">
        <f>LOOKUP(2,1/([1]UPH!$A$3:$A$211=C45),[1]UPH!$CM$3:$CM$211)</f>
        <v>646.15384615384608</v>
      </c>
      <c r="AA45" s="13">
        <f>LOOKUP(2,1/([1]UPH!$A$3:$A$211=C45),[1]UPH!$CN$3:$CN$211)</f>
        <v>190</v>
      </c>
      <c r="AB45" s="13">
        <f>LOOKUP(2,1/([1]UPH!$A$3:$A$211=C45),[1]UPH!$CO$3:$CO$211)</f>
        <v>8121.6</v>
      </c>
      <c r="AC45" s="25">
        <f>VLOOKUP(G45,[1]Tech!$B$2:$E$22,4,0)</f>
        <v>260</v>
      </c>
      <c r="AD45" s="23">
        <f t="shared" si="13"/>
        <v>3250</v>
      </c>
      <c r="AE45" s="24">
        <f t="shared" si="14"/>
        <v>5.944</v>
      </c>
      <c r="AF45" s="7">
        <f>VLOOKUP(E45,'[1]Lot size'!$C$2:$E$20,3,0)</f>
        <v>48</v>
      </c>
      <c r="AG45" s="7">
        <f t="shared" si="6"/>
        <v>20</v>
      </c>
      <c r="AH45" s="7">
        <f t="shared" si="7"/>
        <v>4</v>
      </c>
      <c r="AI45" s="7">
        <f t="shared" si="8"/>
        <v>960</v>
      </c>
      <c r="AJ45" s="7">
        <f t="shared" si="9"/>
        <v>3840</v>
      </c>
      <c r="AK45" s="12">
        <f t="shared" si="10"/>
        <v>5.944</v>
      </c>
    </row>
    <row r="46" spans="1:37">
      <c r="A46" s="7" t="s">
        <v>168</v>
      </c>
      <c r="B46" s="7">
        <f>COUNTIF('[1]Raw data'!$A$3:$A$211,C46)</f>
        <v>1</v>
      </c>
      <c r="C46" s="7" t="str">
        <f t="shared" si="0"/>
        <v>SD_21.35X13.98_4_P3065KMA24B3_PHNXX2MH3P06A</v>
      </c>
      <c r="D46" s="7" t="s">
        <v>168</v>
      </c>
      <c r="E46" s="7" t="s">
        <v>262</v>
      </c>
      <c r="F46" s="7">
        <f t="shared" si="1"/>
        <v>4</v>
      </c>
      <c r="G46" s="7" t="s">
        <v>289</v>
      </c>
      <c r="H46" s="7" t="s">
        <v>275</v>
      </c>
      <c r="J46" s="7" t="str">
        <f>VLOOKUP(M46,[2]Plan_82!$C$5:$L$420,9,0)</f>
        <v>24nm 64Gb D2A</v>
      </c>
      <c r="K46" s="7" t="str">
        <f>VLOOKUP(M46,[2]Plan_82!$C$5:$H$420,5,0)</f>
        <v>20-81-00303</v>
      </c>
      <c r="L46" s="7" t="s">
        <v>25</v>
      </c>
      <c r="M46" s="7" t="s">
        <v>179</v>
      </c>
      <c r="N46" s="7" t="str">
        <f t="shared" si="2"/>
        <v>54-82-08707-016G</v>
      </c>
      <c r="O46" s="7" t="s">
        <v>180</v>
      </c>
      <c r="P46" s="7" t="s">
        <v>181</v>
      </c>
      <c r="Q46" s="7" t="s">
        <v>163</v>
      </c>
      <c r="R46" s="7" t="s">
        <v>127</v>
      </c>
      <c r="S46" s="7" t="s">
        <v>182</v>
      </c>
      <c r="T46" s="7">
        <v>4</v>
      </c>
      <c r="U46" s="9">
        <v>5000</v>
      </c>
      <c r="V46" s="7">
        <f t="shared" si="3"/>
        <v>20000</v>
      </c>
      <c r="W46" s="13">
        <f>LOOKUP(2,1/([1]UPH!$A$3:$A$211=C46),[1]UPH!$CJ$3:$CJ$211)</f>
        <v>3357.5664817294819</v>
      </c>
      <c r="X46" s="13">
        <f>LOOKUP(2,1/([1]UPH!$A$3:$A$211=C46),[1]UPH!$CK$3:$CK$211)</f>
        <v>1544.4805815955615</v>
      </c>
      <c r="Y46" s="13">
        <f>LOOKUP(2,1/([1]UPH!$A$3:$A$211=C46),[1]UPH!$CL$3:$CL$211)</f>
        <v>794.70701802773112</v>
      </c>
      <c r="Z46" s="13">
        <f>LOOKUP(2,1/([1]UPH!$A$3:$A$211=C46),[1]UPH!$CM$3:$CM$211)</f>
        <v>419.99999999999994</v>
      </c>
      <c r="AA46" s="13">
        <f>LOOKUP(2,1/([1]UPH!$A$3:$A$211=C46),[1]UPH!$CN$3:$CN$211)</f>
        <v>60</v>
      </c>
      <c r="AB46" s="13">
        <f>LOOKUP(2,1/([1]UPH!$A$3:$A$211=C46),[1]UPH!$CO$3:$CO$211)</f>
        <v>8121.6</v>
      </c>
      <c r="AC46" s="25">
        <f>VLOOKUP(G46,[1]Tech!$B$2:$E$22,4,0)</f>
        <v>270</v>
      </c>
      <c r="AD46" s="23">
        <f t="shared" si="13"/>
        <v>1687.5</v>
      </c>
      <c r="AE46" s="24">
        <f t="shared" si="14"/>
        <v>2.9629629629629628</v>
      </c>
      <c r="AF46" s="7">
        <f>VLOOKUP(E46,'[1]Lot size'!$C$2:$E$20,3,0)</f>
        <v>48</v>
      </c>
      <c r="AG46" s="7">
        <f t="shared" si="6"/>
        <v>10</v>
      </c>
      <c r="AH46" s="7">
        <f t="shared" si="7"/>
        <v>2</v>
      </c>
      <c r="AI46" s="7">
        <f t="shared" si="8"/>
        <v>480</v>
      </c>
      <c r="AJ46" s="7">
        <f t="shared" si="9"/>
        <v>960</v>
      </c>
      <c r="AK46" s="12">
        <f t="shared" si="10"/>
        <v>5.9259259259259256</v>
      </c>
    </row>
    <row r="47" spans="1:37">
      <c r="A47" s="7" t="s">
        <v>168</v>
      </c>
      <c r="B47" s="7">
        <f>COUNTIF('[1]Raw data'!$A$3:$A$211,C47)</f>
        <v>1</v>
      </c>
      <c r="C47" s="7" t="str">
        <f t="shared" si="0"/>
        <v>SD_21.35X10.1_1_P3016KMA32B3_PHNXX2MR3P06A</v>
      </c>
      <c r="D47" s="7" t="s">
        <v>168</v>
      </c>
      <c r="E47" s="7" t="s">
        <v>260</v>
      </c>
      <c r="F47" s="7">
        <f t="shared" si="1"/>
        <v>1</v>
      </c>
      <c r="G47" s="7" t="s">
        <v>277</v>
      </c>
      <c r="H47" s="7" t="s">
        <v>286</v>
      </c>
      <c r="J47" s="7" t="str">
        <f>VLOOKUP(M47,[2]Plan_82!$C$5:$L$420,9,0)</f>
        <v>32nm 16Gb D2</v>
      </c>
      <c r="K47" s="7" t="str">
        <f>VLOOKUP(M47,[2]Plan_82!$C$5:$H$420,5,0)</f>
        <v>20-81-00277</v>
      </c>
      <c r="L47" s="7" t="s">
        <v>18</v>
      </c>
      <c r="M47" s="7" t="s">
        <v>183</v>
      </c>
      <c r="N47" s="7" t="str">
        <f t="shared" si="2"/>
        <v>54-82-06038-002G</v>
      </c>
      <c r="O47" s="7" t="s">
        <v>184</v>
      </c>
      <c r="P47" s="7" t="s">
        <v>185</v>
      </c>
      <c r="Q47" s="7" t="s">
        <v>186</v>
      </c>
      <c r="R47" s="7" t="s">
        <v>117</v>
      </c>
      <c r="S47" s="7" t="s">
        <v>187</v>
      </c>
      <c r="T47" s="7">
        <v>1</v>
      </c>
      <c r="U47" s="9">
        <v>3003</v>
      </c>
      <c r="V47" s="7">
        <f t="shared" si="3"/>
        <v>3003</v>
      </c>
      <c r="W47" s="13">
        <f>LOOKUP(2,1/([1]UPH!$A$3:$A$211=C47),[1]UPH!$CJ$3:$CJ$211)</f>
        <v>28846.153846153844</v>
      </c>
      <c r="X47" s="13">
        <f>LOOKUP(2,1/([1]UPH!$A$3:$A$211=C47),[1]UPH!$CK$3:$CK$211)</f>
        <v>13269.23076923077</v>
      </c>
      <c r="Y47" s="13">
        <f>LOOKUP(2,1/([1]UPH!$A$3:$A$211=C47),[1]UPH!$CL$3:$CL$211)</f>
        <v>4313.1313131313136</v>
      </c>
      <c r="Z47" s="13">
        <f>LOOKUP(2,1/([1]UPH!$A$3:$A$211=C47),[1]UPH!$CM$3:$CM$211)</f>
        <v>884.21052631578948</v>
      </c>
      <c r="AA47" s="13">
        <f>LOOKUP(2,1/([1]UPH!$A$3:$A$211=C47),[1]UPH!$CN$3:$CN$211)</f>
        <v>280</v>
      </c>
      <c r="AB47" s="13">
        <f>LOOKUP(2,1/([1]UPH!$A$3:$A$211=C47),[1]UPH!$CO$3:$CO$211)</f>
        <v>11167.2</v>
      </c>
      <c r="AC47" s="25">
        <f>VLOOKUP(G47,[1]Tech!$B$2:$E$22,4,0)</f>
        <v>600</v>
      </c>
      <c r="AD47" s="23">
        <f t="shared" si="13"/>
        <v>15000</v>
      </c>
      <c r="AE47" s="24">
        <f t="shared" si="14"/>
        <v>0.20019999999999999</v>
      </c>
      <c r="AF47" s="7">
        <f>VLOOKUP(E47,'[1]Lot size'!$C$2:$E$20,3,0)</f>
        <v>66</v>
      </c>
      <c r="AG47" s="7">
        <f t="shared" si="6"/>
        <v>20</v>
      </c>
      <c r="AH47" s="7">
        <f t="shared" si="7"/>
        <v>4</v>
      </c>
      <c r="AI47" s="7">
        <f t="shared" si="8"/>
        <v>1320</v>
      </c>
      <c r="AJ47" s="7">
        <f t="shared" si="9"/>
        <v>5280</v>
      </c>
      <c r="AK47" s="12">
        <f t="shared" si="10"/>
        <v>0.60060000000000002</v>
      </c>
    </row>
    <row r="48" spans="1:37">
      <c r="A48" s="7" t="s">
        <v>168</v>
      </c>
      <c r="B48" s="7">
        <f>COUNTIF('[1]Raw data'!$A$3:$A$211,C48)</f>
        <v>1</v>
      </c>
      <c r="C48" s="7" t="str">
        <f t="shared" si="0"/>
        <v>SD_21.35X10.1_1_P3016KED32B3_PHNXX2MR3P06A</v>
      </c>
      <c r="D48" s="7" t="s">
        <v>168</v>
      </c>
      <c r="E48" s="7" t="s">
        <v>260</v>
      </c>
      <c r="F48" s="7">
        <f t="shared" si="1"/>
        <v>1</v>
      </c>
      <c r="G48" s="7" t="s">
        <v>274</v>
      </c>
      <c r="H48" s="7" t="s">
        <v>286</v>
      </c>
      <c r="J48" s="7" t="str">
        <f>VLOOKUP(M48,[2]Plan_82!$C$5:$L$420,9,0)</f>
        <v>32nm 16Gb EX3</v>
      </c>
      <c r="K48" s="7" t="str">
        <f>VLOOKUP(M48,[2]Plan_82!$C$5:$H$420,5,0)</f>
        <v>20-81-00277</v>
      </c>
      <c r="L48" s="7" t="s">
        <v>18</v>
      </c>
      <c r="M48" s="7" t="s">
        <v>188</v>
      </c>
      <c r="N48" s="7" t="str">
        <f t="shared" si="2"/>
        <v>54-82-06060-002G</v>
      </c>
      <c r="O48" s="7" t="s">
        <v>184</v>
      </c>
      <c r="P48" s="7" t="s">
        <v>189</v>
      </c>
      <c r="Q48" s="7" t="s">
        <v>190</v>
      </c>
      <c r="R48" s="7" t="s">
        <v>117</v>
      </c>
      <c r="S48" s="7" t="s">
        <v>191</v>
      </c>
      <c r="T48" s="7">
        <v>1</v>
      </c>
      <c r="U48" s="9">
        <f>104104-74000</f>
        <v>30104</v>
      </c>
      <c r="V48" s="7">
        <f t="shared" si="3"/>
        <v>30104</v>
      </c>
      <c r="W48" s="13">
        <f>LOOKUP(2,1/([1]UPH!$A$3:$A$211=C48),[1]UPH!$CJ$3:$CJ$211)</f>
        <v>39772.727272727272</v>
      </c>
      <c r="X48" s="13">
        <f>LOOKUP(2,1/([1]UPH!$A$3:$A$211=C48),[1]UPH!$CK$3:$CK$211)</f>
        <v>18295.454545454548</v>
      </c>
      <c r="Y48" s="13">
        <f>LOOKUP(2,1/([1]UPH!$A$3:$A$211=C48),[1]UPH!$CL$3:$CL$211)</f>
        <v>4666.666666666667</v>
      </c>
      <c r="Z48" s="13">
        <f>LOOKUP(2,1/([1]UPH!$A$3:$A$211=C48),[1]UPH!$CM$3:$CM$211)</f>
        <v>884.21052631578948</v>
      </c>
      <c r="AA48" s="13">
        <f>LOOKUP(2,1/([1]UPH!$A$3:$A$211=C48),[1]UPH!$CN$3:$CN$211)</f>
        <v>350</v>
      </c>
      <c r="AB48" s="13">
        <f>LOOKUP(2,1/([1]UPH!$A$3:$A$211=C48),[1]UPH!$CO$3:$CO$211)</f>
        <v>11167.2</v>
      </c>
      <c r="AC48" s="25">
        <f>VLOOKUP(G48,[1]Tech!$B$2:$E$22,4,0)</f>
        <v>840</v>
      </c>
      <c r="AD48" s="23">
        <f t="shared" si="13"/>
        <v>21000</v>
      </c>
      <c r="AE48" s="24">
        <f t="shared" si="14"/>
        <v>1.4335238095238094</v>
      </c>
      <c r="AF48" s="7">
        <f>VLOOKUP(E48,'[1]Lot size'!$C$2:$E$20,3,0)</f>
        <v>66</v>
      </c>
      <c r="AG48" s="7">
        <f t="shared" si="6"/>
        <v>20</v>
      </c>
      <c r="AH48" s="7">
        <f t="shared" si="7"/>
        <v>4</v>
      </c>
      <c r="AI48" s="7">
        <f t="shared" si="8"/>
        <v>1320</v>
      </c>
      <c r="AJ48" s="7">
        <f t="shared" si="9"/>
        <v>5280</v>
      </c>
      <c r="AK48" s="12">
        <f t="shared" si="10"/>
        <v>5.7340952380952377</v>
      </c>
    </row>
    <row r="49" spans="1:37">
      <c r="A49" s="7" t="s">
        <v>168</v>
      </c>
      <c r="B49" s="7">
        <f>COUNTIF('[1]Raw data'!$A$3:$A$211,C49)</f>
        <v>1</v>
      </c>
      <c r="C49" s="7" t="str">
        <f t="shared" si="0"/>
        <v>SD_21.35X13.98_8_P3032KMA32B3_PHNXX2UX3P09B</v>
      </c>
      <c r="D49" s="7" t="s">
        <v>168</v>
      </c>
      <c r="E49" s="7" t="s">
        <v>262</v>
      </c>
      <c r="F49" s="7">
        <f t="shared" si="1"/>
        <v>8</v>
      </c>
      <c r="G49" s="7" t="s">
        <v>279</v>
      </c>
      <c r="H49" s="7" t="s">
        <v>276</v>
      </c>
      <c r="J49" s="7" t="str">
        <f>VLOOKUP(M49,[2]Plan_82!$C$5:$L$420,9,0)</f>
        <v>32nm 32Gb D2</v>
      </c>
      <c r="K49" s="7" t="str">
        <f>VLOOKUP(M49,[2]Plan_82!$C$5:$H$420,5,0)</f>
        <v>20-81-00251</v>
      </c>
      <c r="L49" s="7" t="s">
        <v>39</v>
      </c>
      <c r="M49" s="7" t="s">
        <v>192</v>
      </c>
      <c r="N49" s="7" t="str">
        <f t="shared" si="2"/>
        <v>54-82-06646-032G</v>
      </c>
      <c r="O49" s="7" t="s">
        <v>193</v>
      </c>
      <c r="P49" s="7" t="s">
        <v>194</v>
      </c>
      <c r="Q49" s="7" t="s">
        <v>195</v>
      </c>
      <c r="R49" s="7" t="s">
        <v>28</v>
      </c>
      <c r="S49" s="7" t="s">
        <v>196</v>
      </c>
      <c r="T49" s="7">
        <v>8</v>
      </c>
      <c r="U49" s="9">
        <v>4365</v>
      </c>
      <c r="V49" s="7">
        <f t="shared" si="3"/>
        <v>34920</v>
      </c>
      <c r="W49" s="13">
        <f>LOOKUP(2,1/([1]UPH!$A$3:$A$211=C49),[1]UPH!$CJ$3:$CJ$211)</f>
        <v>1167.7229402664805</v>
      </c>
      <c r="X49" s="13">
        <f>LOOKUP(2,1/([1]UPH!$A$3:$A$211=C49),[1]UPH!$CK$3:$CK$211)</f>
        <v>650.96104318594621</v>
      </c>
      <c r="Y49" s="13">
        <f>LOOKUP(2,1/([1]UPH!$A$3:$A$211=C49),[1]UPH!$CL$3:$CL$211)</f>
        <v>248.89967076763125</v>
      </c>
      <c r="Z49" s="13">
        <f>LOOKUP(2,1/([1]UPH!$A$3:$A$211=C49),[1]UPH!$CM$3:$CM$211)</f>
        <v>75.675675675675677</v>
      </c>
      <c r="AA49" s="13">
        <f>LOOKUP(2,1/([1]UPH!$A$3:$A$211=C49),[1]UPH!$CN$3:$CN$211)</f>
        <v>55</v>
      </c>
      <c r="AB49" s="13">
        <f>LOOKUP(2,1/([1]UPH!$A$3:$A$211=C49),[1]UPH!$CO$3:$CO$211)</f>
        <v>8121.6</v>
      </c>
      <c r="AC49" s="25">
        <f>VLOOKUP(G49,[1]Tech!$B$2:$E$22,4,0)</f>
        <v>360</v>
      </c>
      <c r="AD49" s="23">
        <f t="shared" si="13"/>
        <v>1125</v>
      </c>
      <c r="AE49" s="24">
        <f t="shared" si="14"/>
        <v>3.88</v>
      </c>
      <c r="AF49" s="7">
        <f>VLOOKUP(E49,'[1]Lot size'!$C$2:$E$20,3,0)</f>
        <v>48</v>
      </c>
      <c r="AG49" s="7">
        <f t="shared" si="6"/>
        <v>10</v>
      </c>
      <c r="AH49" s="7">
        <f t="shared" si="7"/>
        <v>1</v>
      </c>
      <c r="AI49" s="7">
        <f t="shared" si="8"/>
        <v>480</v>
      </c>
      <c r="AJ49" s="7">
        <f t="shared" si="9"/>
        <v>480</v>
      </c>
      <c r="AK49" s="12">
        <f t="shared" si="10"/>
        <v>11.64</v>
      </c>
    </row>
    <row r="50" spans="1:37">
      <c r="A50" s="7" t="s">
        <v>168</v>
      </c>
      <c r="B50" s="7">
        <f>COUNTIF('[1]Raw data'!$A$3:$A$211,C50)</f>
        <v>1</v>
      </c>
      <c r="C50" s="7" t="str">
        <f t="shared" si="0"/>
        <v>SD_21.35X13.98_4_P3065KMH24B3_PHNXX2MR3P06A</v>
      </c>
      <c r="D50" s="7" t="s">
        <v>168</v>
      </c>
      <c r="E50" s="7" t="s">
        <v>262</v>
      </c>
      <c r="F50" s="7">
        <f t="shared" si="1"/>
        <v>4</v>
      </c>
      <c r="G50" s="7" t="s">
        <v>278</v>
      </c>
      <c r="H50" s="7" t="s">
        <v>286</v>
      </c>
      <c r="J50" s="7" t="str">
        <f>VLOOKUP(M50,[2]Plan_82!$C$5:$L$420,9,0)</f>
        <v>24nm 64Gb D2H</v>
      </c>
      <c r="K50" s="7" t="str">
        <f>VLOOKUP(M50,[2]Plan_82!$C$5:$H$420,5,0)</f>
        <v>20-81-00277</v>
      </c>
      <c r="L50" s="7" t="s">
        <v>39</v>
      </c>
      <c r="M50" s="7" t="s">
        <v>197</v>
      </c>
      <c r="N50" s="7" t="str">
        <f t="shared" si="2"/>
        <v>54-82-08547-032G</v>
      </c>
      <c r="O50" s="7" t="s">
        <v>180</v>
      </c>
      <c r="P50" s="7" t="s">
        <v>198</v>
      </c>
      <c r="Q50" s="7" t="s">
        <v>199</v>
      </c>
      <c r="R50" s="7" t="s">
        <v>117</v>
      </c>
      <c r="S50" s="7" t="s">
        <v>177</v>
      </c>
      <c r="T50" s="7">
        <v>4</v>
      </c>
      <c r="U50" s="9">
        <v>55000</v>
      </c>
      <c r="V50" s="7">
        <f t="shared" si="3"/>
        <v>220000</v>
      </c>
      <c r="W50" s="13">
        <f>LOOKUP(2,1/([1]UPH!$A$3:$A$211=C50),[1]UPH!$CJ$3:$CJ$211)</f>
        <v>3235.9774311317624</v>
      </c>
      <c r="X50" s="13">
        <f>LOOKUP(2,1/([1]UPH!$A$3:$A$211=C50),[1]UPH!$CK$3:$CK$211)</f>
        <v>1488.5496183206108</v>
      </c>
      <c r="Y50" s="13">
        <f>LOOKUP(2,1/([1]UPH!$A$3:$A$211=C50),[1]UPH!$CL$3:$CL$211)</f>
        <v>776.49159941791243</v>
      </c>
      <c r="Z50" s="13">
        <f>LOOKUP(2,1/([1]UPH!$A$3:$A$211=C50),[1]UPH!$CM$3:$CM$211)</f>
        <v>419.99999999999994</v>
      </c>
      <c r="AA50" s="13">
        <f>LOOKUP(2,1/([1]UPH!$A$3:$A$211=C50),[1]UPH!$CN$3:$CN$211)</f>
        <v>110</v>
      </c>
      <c r="AB50" s="13">
        <f>LOOKUP(2,1/([1]UPH!$A$3:$A$211=C50),[1]UPH!$CO$3:$CO$211)</f>
        <v>8121.6</v>
      </c>
      <c r="AC50" s="25">
        <f>VLOOKUP(G50,[1]Tech!$B$2:$E$22,4,0)</f>
        <v>260</v>
      </c>
      <c r="AD50" s="23">
        <f t="shared" si="13"/>
        <v>1625</v>
      </c>
      <c r="AE50" s="24">
        <f t="shared" si="14"/>
        <v>33.846153846153847</v>
      </c>
      <c r="AF50" s="7">
        <f>VLOOKUP(E50,'[1]Lot size'!$C$2:$E$20,3,0)</f>
        <v>48</v>
      </c>
      <c r="AG50" s="7">
        <f t="shared" si="6"/>
        <v>10</v>
      </c>
      <c r="AH50" s="7">
        <f t="shared" si="7"/>
        <v>2</v>
      </c>
      <c r="AI50" s="7">
        <f t="shared" si="8"/>
        <v>480</v>
      </c>
      <c r="AJ50" s="7">
        <f t="shared" si="9"/>
        <v>960</v>
      </c>
      <c r="AK50" s="12">
        <f t="shared" si="10"/>
        <v>67.692307692307693</v>
      </c>
    </row>
    <row r="51" spans="1:37">
      <c r="A51" s="7" t="s">
        <v>168</v>
      </c>
      <c r="B51" s="7">
        <f>COUNTIF('[1]Raw data'!$A$3:$A$211,C51)</f>
        <v>1</v>
      </c>
      <c r="C51" s="7" t="str">
        <f t="shared" si="0"/>
        <v>SD_21.35X13.98_8_P3065KMA24B3_PHNXX2MH3P06A</v>
      </c>
      <c r="D51" s="7" t="s">
        <v>168</v>
      </c>
      <c r="E51" s="7" t="s">
        <v>262</v>
      </c>
      <c r="F51" s="7">
        <f t="shared" si="1"/>
        <v>8</v>
      </c>
      <c r="G51" s="7" t="s">
        <v>289</v>
      </c>
      <c r="H51" s="7" t="s">
        <v>275</v>
      </c>
      <c r="J51" s="7" t="str">
        <f>VLOOKUP(M51,[2]Plan_82!$C$5:$L$420,9,0)</f>
        <v>24nm 64Gb D2A</v>
      </c>
      <c r="K51" s="7" t="str">
        <f>VLOOKUP(M51,[2]Plan_82!$C$5:$H$420,5,0)</f>
        <v>20-81-00303</v>
      </c>
      <c r="L51" s="7" t="s">
        <v>39</v>
      </c>
      <c r="M51" s="7" t="s">
        <v>200</v>
      </c>
      <c r="N51" s="7" t="str">
        <f t="shared" si="2"/>
        <v>54-82-08707-032G</v>
      </c>
      <c r="O51" s="7" t="s">
        <v>193</v>
      </c>
      <c r="P51" s="7" t="s">
        <v>201</v>
      </c>
      <c r="Q51" s="7" t="s">
        <v>163</v>
      </c>
      <c r="R51" s="7" t="s">
        <v>127</v>
      </c>
      <c r="S51" s="7" t="s">
        <v>182</v>
      </c>
      <c r="T51" s="7">
        <v>8</v>
      </c>
      <c r="U51" s="9">
        <v>3000</v>
      </c>
      <c r="V51" s="7">
        <f t="shared" si="3"/>
        <v>24000</v>
      </c>
      <c r="W51" s="13">
        <f>LOOKUP(2,1/([1]UPH!$A$3:$A$211=C51),[1]UPH!$CJ$3:$CJ$211)</f>
        <v>876.31697208768173</v>
      </c>
      <c r="X51" s="13">
        <f>LOOKUP(2,1/([1]UPH!$A$3:$A$211=C51),[1]UPH!$CK$3:$CK$211)</f>
        <v>488.5753459534248</v>
      </c>
      <c r="Y51" s="13">
        <f>LOOKUP(2,1/([1]UPH!$A$3:$A$211=C51),[1]UPH!$CL$3:$CL$211)</f>
        <v>198.09191077667296</v>
      </c>
      <c r="Z51" s="13">
        <f>LOOKUP(2,1/([1]UPH!$A$3:$A$211=C51),[1]UPH!$CM$3:$CM$211)</f>
        <v>75.675675675675677</v>
      </c>
      <c r="AA51" s="13">
        <f>LOOKUP(2,1/([1]UPH!$A$3:$A$211=C51),[1]UPH!$CN$3:$CN$211)</f>
        <v>60</v>
      </c>
      <c r="AB51" s="13">
        <f>LOOKUP(2,1/([1]UPH!$A$3:$A$211=C51),[1]UPH!$CO$3:$CO$211)</f>
        <v>8121.6</v>
      </c>
      <c r="AC51" s="25">
        <f>VLOOKUP(G51,[1]Tech!$B$2:$E$22,4,0)</f>
        <v>270</v>
      </c>
      <c r="AD51" s="23">
        <f t="shared" si="13"/>
        <v>843.75</v>
      </c>
      <c r="AE51" s="24">
        <f t="shared" si="14"/>
        <v>3.5555555555555554</v>
      </c>
      <c r="AF51" s="7">
        <f>VLOOKUP(E51,'[1]Lot size'!$C$2:$E$20,3,0)</f>
        <v>48</v>
      </c>
      <c r="AG51" s="7">
        <f t="shared" si="6"/>
        <v>10</v>
      </c>
      <c r="AH51" s="7">
        <f t="shared" si="7"/>
        <v>1</v>
      </c>
      <c r="AI51" s="7">
        <f t="shared" si="8"/>
        <v>480</v>
      </c>
      <c r="AJ51" s="7">
        <f t="shared" si="9"/>
        <v>480</v>
      </c>
      <c r="AK51" s="12">
        <f t="shared" si="10"/>
        <v>7.1111111111111107</v>
      </c>
    </row>
    <row r="52" spans="1:37">
      <c r="A52" s="7" t="s">
        <v>168</v>
      </c>
      <c r="B52" s="7">
        <f>COUNTIF('[1]Raw data'!$A$3:$A$211,C52)</f>
        <v>1</v>
      </c>
      <c r="C52" s="7" t="str">
        <f t="shared" si="0"/>
        <v>SD_21.35X10.1_1_P3032KED32B3_PHNXX2MR3P06A</v>
      </c>
      <c r="D52" s="7" t="s">
        <v>168</v>
      </c>
      <c r="E52" s="7" t="s">
        <v>260</v>
      </c>
      <c r="F52" s="7">
        <f t="shared" si="1"/>
        <v>1</v>
      </c>
      <c r="G52" s="7" t="s">
        <v>284</v>
      </c>
      <c r="H52" s="7" t="s">
        <v>286</v>
      </c>
      <c r="J52" s="7" t="str">
        <f>VLOOKUP(M52,[2]Plan_82!$C$5:$L$420,9,0)</f>
        <v>32nm 32Gb EX3</v>
      </c>
      <c r="K52" s="7" t="str">
        <f>VLOOKUP(M52,[2]Plan_82!$C$5:$H$420,5,0)</f>
        <v>20-81-00277</v>
      </c>
      <c r="L52" s="7" t="s">
        <v>44</v>
      </c>
      <c r="M52" s="7" t="s">
        <v>202</v>
      </c>
      <c r="N52" s="7" t="str">
        <f t="shared" si="2"/>
        <v>54-82-06538-004G</v>
      </c>
      <c r="O52" s="7" t="s">
        <v>184</v>
      </c>
      <c r="P52" s="7" t="s">
        <v>203</v>
      </c>
      <c r="Q52" s="7" t="s">
        <v>158</v>
      </c>
      <c r="R52" s="7" t="s">
        <v>117</v>
      </c>
      <c r="S52" s="7" t="s">
        <v>204</v>
      </c>
      <c r="T52" s="7">
        <v>1</v>
      </c>
      <c r="U52" s="9">
        <v>496355</v>
      </c>
      <c r="V52" s="7">
        <f t="shared" si="3"/>
        <v>496355</v>
      </c>
      <c r="W52" s="13">
        <f>LOOKUP(2,1/([1]UPH!$A$3:$A$211=C52),[1]UPH!$CJ$3:$CJ$211)</f>
        <v>23255.81395348837</v>
      </c>
      <c r="X52" s="13">
        <f>LOOKUP(2,1/([1]UPH!$A$3:$A$211=C52),[1]UPH!$CK$3:$CK$211)</f>
        <v>10697.674418604651</v>
      </c>
      <c r="Y52" s="13">
        <f>LOOKUP(2,1/([1]UPH!$A$3:$A$211=C52),[1]UPH!$CL$3:$CL$211)</f>
        <v>3895.0395398993528</v>
      </c>
      <c r="Z52" s="13">
        <f>LOOKUP(2,1/([1]UPH!$A$3:$A$211=C52),[1]UPH!$CM$3:$CM$211)</f>
        <v>884.21052631578948</v>
      </c>
      <c r="AA52" s="13">
        <f>LOOKUP(2,1/([1]UPH!$A$3:$A$211=C52),[1]UPH!$CN$3:$CN$211)</f>
        <v>300</v>
      </c>
      <c r="AB52" s="13">
        <f>LOOKUP(2,1/([1]UPH!$A$3:$A$211=C52),[1]UPH!$CO$3:$CO$211)</f>
        <v>11167.2</v>
      </c>
      <c r="AC52" s="25">
        <f>VLOOKUP(G52,[1]Tech!$B$2:$E$22,4,0)</f>
        <v>480</v>
      </c>
      <c r="AD52" s="23">
        <f t="shared" si="13"/>
        <v>12000</v>
      </c>
      <c r="AE52" s="24">
        <f t="shared" si="14"/>
        <v>41.362916666666663</v>
      </c>
      <c r="AF52" s="7">
        <f>VLOOKUP(E52,'[1]Lot size'!$C$2:$E$20,3,0)</f>
        <v>66</v>
      </c>
      <c r="AG52" s="7">
        <f t="shared" si="6"/>
        <v>20</v>
      </c>
      <c r="AH52" s="7">
        <f t="shared" si="7"/>
        <v>4</v>
      </c>
      <c r="AI52" s="7">
        <f t="shared" si="8"/>
        <v>1320</v>
      </c>
      <c r="AJ52" s="7">
        <f t="shared" si="9"/>
        <v>5280</v>
      </c>
      <c r="AK52" s="12">
        <f t="shared" si="10"/>
        <v>124.08874999999999</v>
      </c>
    </row>
    <row r="53" spans="1:37">
      <c r="A53" s="7" t="s">
        <v>168</v>
      </c>
      <c r="B53" s="7">
        <f>COUNTIF('[1]Raw data'!$A$3:$A$211,C53)</f>
        <v>1</v>
      </c>
      <c r="C53" s="7" t="str">
        <f t="shared" si="0"/>
        <v>SD_21.35X10.1_1_P3032KED32B3_PHNXX2MR3P06A</v>
      </c>
      <c r="D53" s="7" t="s">
        <v>168</v>
      </c>
      <c r="E53" s="7" t="s">
        <v>260</v>
      </c>
      <c r="F53" s="7">
        <f t="shared" si="1"/>
        <v>1</v>
      </c>
      <c r="G53" s="7" t="s">
        <v>284</v>
      </c>
      <c r="H53" s="7" t="s">
        <v>286</v>
      </c>
      <c r="J53" s="7" t="str">
        <f>VLOOKUP(M53,[2]Plan_82!$C$5:$L$420,9,0)</f>
        <v>32nm 32Gb EX3</v>
      </c>
      <c r="K53" s="7" t="str">
        <f>VLOOKUP(M53,[2]Plan_82!$C$5:$H$420,5,0)</f>
        <v>20-81-00277</v>
      </c>
      <c r="L53" s="7" t="s">
        <v>44</v>
      </c>
      <c r="M53" s="7" t="s">
        <v>202</v>
      </c>
      <c r="N53" s="7" t="str">
        <f t="shared" si="2"/>
        <v>54-82-06538-004G</v>
      </c>
      <c r="O53" s="7" t="s">
        <v>184</v>
      </c>
      <c r="P53" s="7" t="s">
        <v>203</v>
      </c>
      <c r="Q53" s="7" t="s">
        <v>205</v>
      </c>
      <c r="R53" s="7" t="s">
        <v>117</v>
      </c>
      <c r="S53" s="7" t="s">
        <v>204</v>
      </c>
      <c r="T53" s="7">
        <v>1</v>
      </c>
      <c r="U53" s="9">
        <v>4630</v>
      </c>
      <c r="V53" s="7">
        <f t="shared" si="3"/>
        <v>4630</v>
      </c>
      <c r="W53" s="13">
        <f>LOOKUP(2,1/([1]UPH!$A$3:$A$211=C53),[1]UPH!$CJ$3:$CJ$211)</f>
        <v>23255.81395348837</v>
      </c>
      <c r="X53" s="13">
        <f>LOOKUP(2,1/([1]UPH!$A$3:$A$211=C53),[1]UPH!$CK$3:$CK$211)</f>
        <v>10697.674418604651</v>
      </c>
      <c r="Y53" s="13">
        <f>LOOKUP(2,1/([1]UPH!$A$3:$A$211=C53),[1]UPH!$CL$3:$CL$211)</f>
        <v>3895.0395398993528</v>
      </c>
      <c r="Z53" s="13">
        <f>LOOKUP(2,1/([1]UPH!$A$3:$A$211=C53),[1]UPH!$CM$3:$CM$211)</f>
        <v>884.21052631578948</v>
      </c>
      <c r="AA53" s="13">
        <f>LOOKUP(2,1/([1]UPH!$A$3:$A$211=C53),[1]UPH!$CN$3:$CN$211)</f>
        <v>300</v>
      </c>
      <c r="AB53" s="13">
        <f>LOOKUP(2,1/([1]UPH!$A$3:$A$211=C53),[1]UPH!$CO$3:$CO$211)</f>
        <v>11167.2</v>
      </c>
      <c r="AC53" s="25">
        <f>VLOOKUP(G53,[1]Tech!$B$2:$E$22,4,0)</f>
        <v>480</v>
      </c>
      <c r="AD53" s="23">
        <f t="shared" si="13"/>
        <v>12000</v>
      </c>
      <c r="AE53" s="24">
        <f t="shared" si="14"/>
        <v>0.38583333333333331</v>
      </c>
      <c r="AF53" s="7">
        <f>VLOOKUP(E53,'[1]Lot size'!$C$2:$E$20,3,0)</f>
        <v>66</v>
      </c>
      <c r="AG53" s="7">
        <f t="shared" si="6"/>
        <v>20</v>
      </c>
      <c r="AH53" s="7">
        <f t="shared" si="7"/>
        <v>4</v>
      </c>
      <c r="AI53" s="7">
        <f t="shared" si="8"/>
        <v>1320</v>
      </c>
      <c r="AJ53" s="7">
        <f t="shared" si="9"/>
        <v>5280</v>
      </c>
      <c r="AK53" s="12">
        <f t="shared" si="10"/>
        <v>1.1575</v>
      </c>
    </row>
    <row r="54" spans="1:37">
      <c r="A54" s="7" t="s">
        <v>168</v>
      </c>
      <c r="B54" s="7">
        <f>COUNTIF('[1]Raw data'!$A$3:$A$211,C54)</f>
        <v>1</v>
      </c>
      <c r="C54" s="7" t="str">
        <f t="shared" si="0"/>
        <v>SD_21.35X13.98_2_P3016KMA32B3_PHNXX2UX3P09B</v>
      </c>
      <c r="D54" s="7" t="s">
        <v>168</v>
      </c>
      <c r="E54" s="7" t="s">
        <v>262</v>
      </c>
      <c r="F54" s="7">
        <f t="shared" si="1"/>
        <v>2</v>
      </c>
      <c r="G54" s="7" t="s">
        <v>277</v>
      </c>
      <c r="H54" s="7" t="s">
        <v>276</v>
      </c>
      <c r="J54" s="7" t="str">
        <f>VLOOKUP(M54,[2]Plan_82!$C$5:$L$420,9,0)</f>
        <v>32nm 16Gb D2</v>
      </c>
      <c r="K54" s="7" t="str">
        <f>VLOOKUP(M54,[2]Plan_82!$C$5:$H$420,5,0)</f>
        <v>20-81-00251</v>
      </c>
      <c r="L54" s="7" t="s">
        <v>44</v>
      </c>
      <c r="M54" s="7" t="s">
        <v>206</v>
      </c>
      <c r="N54" s="7" t="str">
        <f t="shared" si="2"/>
        <v>54-82-06767-004G</v>
      </c>
      <c r="O54" s="7" t="s">
        <v>174</v>
      </c>
      <c r="P54" s="7" t="s">
        <v>207</v>
      </c>
      <c r="Q54" s="7" t="s">
        <v>208</v>
      </c>
      <c r="R54" s="7" t="s">
        <v>36</v>
      </c>
      <c r="S54" s="7" t="s">
        <v>196</v>
      </c>
      <c r="T54" s="7">
        <v>2</v>
      </c>
      <c r="U54" s="9">
        <v>25531</v>
      </c>
      <c r="V54" s="7">
        <f t="shared" si="3"/>
        <v>51062</v>
      </c>
      <c r="W54" s="13">
        <f>LOOKUP(2,1/([1]UPH!$A$3:$A$211=C54),[1]UPH!$CJ$3:$CJ$211)</f>
        <v>14634.146341463415</v>
      </c>
      <c r="X54" s="13">
        <f>LOOKUP(2,1/([1]UPH!$A$3:$A$211=C54),[1]UPH!$CK$3:$CK$211)</f>
        <v>6731.7073170731701</v>
      </c>
      <c r="Y54" s="13">
        <f>LOOKUP(2,1/([1]UPH!$A$3:$A$211=C54),[1]UPH!$CL$3:$CL$211)</f>
        <v>2549.2537313432836</v>
      </c>
      <c r="Z54" s="13">
        <f>LOOKUP(2,1/([1]UPH!$A$3:$A$211=C54),[1]UPH!$CM$3:$CM$211)</f>
        <v>646.15384615384608</v>
      </c>
      <c r="AA54" s="13">
        <f>LOOKUP(2,1/([1]UPH!$A$3:$A$211=C54),[1]UPH!$CN$3:$CN$211)</f>
        <v>175</v>
      </c>
      <c r="AB54" s="13">
        <f>LOOKUP(2,1/([1]UPH!$A$3:$A$211=C54),[1]UPH!$CO$3:$CO$211)</f>
        <v>8121.6</v>
      </c>
      <c r="AC54" s="25">
        <f>VLOOKUP(G54,[1]Tech!$B$2:$E$22,4,0)</f>
        <v>600</v>
      </c>
      <c r="AD54" s="23">
        <f t="shared" si="13"/>
        <v>7500</v>
      </c>
      <c r="AE54" s="24">
        <f t="shared" si="14"/>
        <v>3.4041333333333332</v>
      </c>
      <c r="AF54" s="7">
        <f>VLOOKUP(E54,'[1]Lot size'!$C$2:$E$20,3,0)</f>
        <v>48</v>
      </c>
      <c r="AG54" s="7">
        <f t="shared" si="6"/>
        <v>20</v>
      </c>
      <c r="AH54" s="7">
        <f t="shared" si="7"/>
        <v>4</v>
      </c>
      <c r="AI54" s="7">
        <f t="shared" si="8"/>
        <v>960</v>
      </c>
      <c r="AJ54" s="7">
        <f t="shared" si="9"/>
        <v>3840</v>
      </c>
      <c r="AK54" s="12">
        <f t="shared" si="10"/>
        <v>6.8082666666666665</v>
      </c>
    </row>
    <row r="55" spans="1:37">
      <c r="A55" s="7" t="s">
        <v>168</v>
      </c>
      <c r="B55" s="7">
        <f>COUNTIF('[1]Raw data'!$A$3:$A$211,C55)</f>
        <v>1</v>
      </c>
      <c r="C55" s="7" t="str">
        <f t="shared" si="0"/>
        <v>SD_21.35X10.1_1_P3032KMA24B3_PHNXX2MH3P06A</v>
      </c>
      <c r="D55" s="7" t="s">
        <v>168</v>
      </c>
      <c r="E55" s="7" t="s">
        <v>260</v>
      </c>
      <c r="F55" s="7">
        <f t="shared" si="1"/>
        <v>1</v>
      </c>
      <c r="G55" s="7" t="s">
        <v>290</v>
      </c>
      <c r="H55" s="7" t="s">
        <v>275</v>
      </c>
      <c r="J55" s="7" t="str">
        <f>VLOOKUP(M55,[2]Plan_82!$C$5:$L$420,9,0)</f>
        <v>24nm 32Gb D2</v>
      </c>
      <c r="K55" s="7" t="str">
        <f>VLOOKUP(M55,[2]Plan_82!$C$5:$H$420,5,0)</f>
        <v>20-81-00303</v>
      </c>
      <c r="L55" s="7" t="s">
        <v>44</v>
      </c>
      <c r="M55" s="7" t="s">
        <v>209</v>
      </c>
      <c r="N55" s="7" t="str">
        <f t="shared" si="2"/>
        <v>54-82-08140-004G</v>
      </c>
      <c r="O55" s="7" t="s">
        <v>170</v>
      </c>
      <c r="P55" s="7" t="s">
        <v>210</v>
      </c>
      <c r="Q55" s="7" t="s">
        <v>211</v>
      </c>
      <c r="R55" s="7" t="s">
        <v>99</v>
      </c>
      <c r="S55" s="7" t="s">
        <v>212</v>
      </c>
      <c r="T55" s="7">
        <v>1</v>
      </c>
      <c r="U55" s="9">
        <f>69721+100000</f>
        <v>169721</v>
      </c>
      <c r="V55" s="7">
        <f t="shared" si="3"/>
        <v>169721</v>
      </c>
      <c r="W55" s="13">
        <f>LOOKUP(2,1/([1]UPH!$A$3:$A$211=C55),[1]UPH!$CJ$3:$CJ$211)</f>
        <v>26659.781646503394</v>
      </c>
      <c r="X55" s="13">
        <f>LOOKUP(2,1/([1]UPH!$A$3:$A$211=C55),[1]UPH!$CK$3:$CK$211)</f>
        <v>12263.49955739156</v>
      </c>
      <c r="Y55" s="13">
        <f>LOOKUP(2,1/([1]UPH!$A$3:$A$211=C55),[1]UPH!$CL$3:$CL$211)</f>
        <v>3556.419868791003</v>
      </c>
      <c r="Z55" s="13">
        <f>LOOKUP(2,1/([1]UPH!$A$3:$A$211=C55),[1]UPH!$CM$3:$CM$211)</f>
        <v>884.21052631578948</v>
      </c>
      <c r="AA55" s="13">
        <v>330</v>
      </c>
      <c r="AB55" s="13">
        <f>LOOKUP(2,1/([1]UPH!$A$3:$A$211=C55),[1]UPH!$CO$3:$CO$211)</f>
        <v>11167.2</v>
      </c>
      <c r="AC55" s="25">
        <f>VLOOKUP(G55,[1]Tech!$B$2:$E$22,4,0)</f>
        <v>556</v>
      </c>
      <c r="AD55" s="23">
        <f t="shared" si="13"/>
        <v>13900</v>
      </c>
      <c r="AE55" s="24">
        <f t="shared" si="14"/>
        <v>12.210143884892087</v>
      </c>
      <c r="AF55" s="7">
        <f>VLOOKUP(E55,'[1]Lot size'!$C$2:$E$20,3,0)</f>
        <v>66</v>
      </c>
      <c r="AG55" s="7">
        <f t="shared" si="6"/>
        <v>20</v>
      </c>
      <c r="AH55" s="7">
        <f t="shared" si="7"/>
        <v>4</v>
      </c>
      <c r="AI55" s="7">
        <f t="shared" si="8"/>
        <v>1320</v>
      </c>
      <c r="AJ55" s="7">
        <f t="shared" si="9"/>
        <v>5280</v>
      </c>
      <c r="AK55" s="12">
        <f t="shared" si="10"/>
        <v>36.630431654676258</v>
      </c>
    </row>
    <row r="56" spans="1:37">
      <c r="A56" s="7" t="s">
        <v>168</v>
      </c>
      <c r="B56" s="7">
        <f>COUNTIF('[1]Raw data'!$A$3:$A$211,C56)</f>
        <v>1</v>
      </c>
      <c r="C56" s="7" t="str">
        <f t="shared" si="0"/>
        <v>SD_21.35X10.1_1_P3032KED24B3_PHNXX2MH3P06A</v>
      </c>
      <c r="D56" s="7" t="s">
        <v>168</v>
      </c>
      <c r="E56" s="7" t="s">
        <v>260</v>
      </c>
      <c r="F56" s="7">
        <f t="shared" si="1"/>
        <v>1</v>
      </c>
      <c r="G56" s="7" t="s">
        <v>291</v>
      </c>
      <c r="H56" s="7" t="s">
        <v>275</v>
      </c>
      <c r="J56" s="7" t="str">
        <f>VLOOKUP(M56,[2]Plan_82!$C$5:$L$420,9,0)</f>
        <v>24nm 32Gb EX3</v>
      </c>
      <c r="K56" s="7" t="str">
        <f>VLOOKUP(M56,[2]Plan_82!$C$5:$H$420,5,0)</f>
        <v>20-81-00303</v>
      </c>
      <c r="L56" s="7" t="s">
        <v>44</v>
      </c>
      <c r="M56" s="7" t="s">
        <v>213</v>
      </c>
      <c r="N56" s="7" t="str">
        <f t="shared" si="2"/>
        <v>54-82-08213-004G</v>
      </c>
      <c r="O56" s="7" t="s">
        <v>184</v>
      </c>
      <c r="P56" s="7" t="s">
        <v>214</v>
      </c>
      <c r="Q56" s="7" t="s">
        <v>135</v>
      </c>
      <c r="R56" s="7" t="s">
        <v>99</v>
      </c>
      <c r="S56" s="7" t="s">
        <v>172</v>
      </c>
      <c r="T56" s="7">
        <v>1</v>
      </c>
      <c r="U56" s="9">
        <f>461706-30000</f>
        <v>431706</v>
      </c>
      <c r="V56" s="7">
        <f t="shared" si="3"/>
        <v>431706</v>
      </c>
      <c r="W56" s="13">
        <f>LOOKUP(2,1/([1]UPH!$A$3:$A$211=C56),[1]UPH!$CJ$3:$CJ$211)</f>
        <v>29588.839941262846</v>
      </c>
      <c r="X56" s="13">
        <f>LOOKUP(2,1/([1]UPH!$A$3:$A$211=C56),[1]UPH!$CK$3:$CK$211)</f>
        <v>13610.86637298091</v>
      </c>
      <c r="Y56" s="13">
        <f>LOOKUP(2,1/([1]UPH!$A$3:$A$211=C56),[1]UPH!$CL$3:$CL$211)</f>
        <v>3687.5816993464055</v>
      </c>
      <c r="Z56" s="13">
        <f>LOOKUP(2,1/([1]UPH!$A$3:$A$211=C56),[1]UPH!$CM$3:$CM$211)</f>
        <v>884.21052631578948</v>
      </c>
      <c r="AA56" s="13">
        <f>LOOKUP(2,1/([1]UPH!$A$3:$A$211=C56),[1]UPH!$CN$3:$CN$211)</f>
        <v>330</v>
      </c>
      <c r="AB56" s="13">
        <f>LOOKUP(2,1/([1]UPH!$A$3:$A$211=C56),[1]UPH!$CO$3:$CO$211)</f>
        <v>11167.2</v>
      </c>
      <c r="AC56" s="25">
        <f>VLOOKUP(G56,[1]Tech!$B$2:$E$22,4,0)</f>
        <v>620</v>
      </c>
      <c r="AD56" s="23">
        <f t="shared" si="13"/>
        <v>15500</v>
      </c>
      <c r="AE56" s="24">
        <f t="shared" si="14"/>
        <v>27.852</v>
      </c>
      <c r="AF56" s="7">
        <f>VLOOKUP(E56,'[1]Lot size'!$C$2:$E$20,3,0)</f>
        <v>66</v>
      </c>
      <c r="AG56" s="7">
        <f t="shared" si="6"/>
        <v>20</v>
      </c>
      <c r="AH56" s="7">
        <f t="shared" si="7"/>
        <v>4</v>
      </c>
      <c r="AI56" s="7">
        <f t="shared" si="8"/>
        <v>1320</v>
      </c>
      <c r="AJ56" s="7">
        <f t="shared" si="9"/>
        <v>5280</v>
      </c>
      <c r="AK56" s="12">
        <f t="shared" si="10"/>
        <v>83.555999999999997</v>
      </c>
    </row>
    <row r="57" spans="1:37">
      <c r="A57" s="7" t="s">
        <v>168</v>
      </c>
      <c r="B57" s="7">
        <f>COUNTIF('[1]Raw data'!$A$3:$A$211,C57)</f>
        <v>1</v>
      </c>
      <c r="C57" s="7" t="str">
        <f t="shared" si="0"/>
        <v>SD_21.35X13.98_8_P3065KMA24B3_PHNXX2MH3P06A</v>
      </c>
      <c r="D57" s="7" t="s">
        <v>168</v>
      </c>
      <c r="E57" s="7" t="s">
        <v>262</v>
      </c>
      <c r="F57" s="7">
        <f t="shared" si="1"/>
        <v>8</v>
      </c>
      <c r="G57" s="7" t="s">
        <v>289</v>
      </c>
      <c r="H57" s="7" t="s">
        <v>275</v>
      </c>
      <c r="J57" s="7" t="str">
        <f>VLOOKUP(M57,[2]Plan_82!$C$5:$L$420,9,0)</f>
        <v>24nm 64Gb D2A</v>
      </c>
      <c r="K57" s="7" t="str">
        <f>VLOOKUP(M57,[2]Plan_82!$C$5:$H$420,5,0)</f>
        <v>20-81-00303</v>
      </c>
      <c r="L57" s="7" t="s">
        <v>137</v>
      </c>
      <c r="M57" s="7" t="s">
        <v>215</v>
      </c>
      <c r="N57" s="7" t="str">
        <f t="shared" si="2"/>
        <v>54-82-08707-064G</v>
      </c>
      <c r="O57" s="7" t="s">
        <v>193</v>
      </c>
      <c r="P57" s="7" t="s">
        <v>216</v>
      </c>
      <c r="Q57" s="7" t="s">
        <v>163</v>
      </c>
      <c r="R57" s="7" t="s">
        <v>127</v>
      </c>
      <c r="S57" s="7" t="s">
        <v>182</v>
      </c>
      <c r="T57" s="7">
        <v>8</v>
      </c>
      <c r="U57" s="9">
        <v>3000</v>
      </c>
      <c r="V57" s="7">
        <f t="shared" si="3"/>
        <v>24000</v>
      </c>
      <c r="W57" s="13">
        <f>LOOKUP(2,1/([1]UPH!$A$3:$A$211=C57),[1]UPH!$CJ$3:$CJ$211)</f>
        <v>876.31697208768173</v>
      </c>
      <c r="X57" s="13">
        <f>LOOKUP(2,1/([1]UPH!$A$3:$A$211=C57),[1]UPH!$CK$3:$CK$211)</f>
        <v>488.5753459534248</v>
      </c>
      <c r="Y57" s="13">
        <f>LOOKUP(2,1/([1]UPH!$A$3:$A$211=C57),[1]UPH!$CL$3:$CL$211)</f>
        <v>198.09191077667296</v>
      </c>
      <c r="Z57" s="13">
        <f>LOOKUP(2,1/([1]UPH!$A$3:$A$211=C57),[1]UPH!$CM$3:$CM$211)</f>
        <v>75.675675675675677</v>
      </c>
      <c r="AA57" s="13">
        <f>LOOKUP(2,1/([1]UPH!$A$3:$A$211=C57),[1]UPH!$CN$3:$CN$211)</f>
        <v>60</v>
      </c>
      <c r="AB57" s="13">
        <f>LOOKUP(2,1/([1]UPH!$A$3:$A$211=C57),[1]UPH!$CO$3:$CO$211)</f>
        <v>8121.6</v>
      </c>
      <c r="AC57" s="25">
        <f>VLOOKUP(G57,[1]Tech!$B$2:$E$22,4,0)</f>
        <v>270</v>
      </c>
      <c r="AD57" s="23">
        <f t="shared" si="13"/>
        <v>843.75</v>
      </c>
      <c r="AE57" s="24">
        <f t="shared" si="14"/>
        <v>3.5555555555555554</v>
      </c>
      <c r="AF57" s="7">
        <f>VLOOKUP(E57,'[1]Lot size'!$C$2:$E$20,3,0)</f>
        <v>48</v>
      </c>
      <c r="AG57" s="7">
        <f t="shared" si="6"/>
        <v>10</v>
      </c>
      <c r="AH57" s="7">
        <f t="shared" si="7"/>
        <v>1</v>
      </c>
      <c r="AI57" s="7">
        <f t="shared" si="8"/>
        <v>480</v>
      </c>
      <c r="AJ57" s="7">
        <f t="shared" si="9"/>
        <v>480</v>
      </c>
      <c r="AK57" s="12">
        <f t="shared" si="10"/>
        <v>7.1111111111111107</v>
      </c>
    </row>
    <row r="58" spans="1:37">
      <c r="A58" s="7" t="s">
        <v>168</v>
      </c>
      <c r="B58" s="7">
        <f>COUNTIF('[1]Raw data'!$A$3:$A$211,C58)</f>
        <v>1</v>
      </c>
      <c r="C58" s="7" t="str">
        <f t="shared" si="0"/>
        <v>SD_21.35X13.98_2_P3032KMA32B3_PHNXX2UX3P09B</v>
      </c>
      <c r="D58" s="7" t="s">
        <v>168</v>
      </c>
      <c r="E58" s="7" t="s">
        <v>262</v>
      </c>
      <c r="F58" s="7">
        <f t="shared" si="1"/>
        <v>2</v>
      </c>
      <c r="G58" s="7" t="s">
        <v>279</v>
      </c>
      <c r="H58" s="7" t="s">
        <v>276</v>
      </c>
      <c r="J58" s="7" t="str">
        <f>VLOOKUP(M58,[2]Plan_82!$C$5:$L$420,9,0)</f>
        <v>32nm 32Gb D2</v>
      </c>
      <c r="K58" s="7" t="str">
        <f>VLOOKUP(M58,[2]Plan_82!$C$5:$H$420,5,0)</f>
        <v>20-81-00251</v>
      </c>
      <c r="L58" s="7" t="s">
        <v>52</v>
      </c>
      <c r="M58" s="7" t="s">
        <v>217</v>
      </c>
      <c r="N58" s="7" t="str">
        <f t="shared" si="2"/>
        <v>54-82-06646-008G</v>
      </c>
      <c r="O58" s="7" t="s">
        <v>174</v>
      </c>
      <c r="P58" s="7" t="s">
        <v>218</v>
      </c>
      <c r="Q58" s="7" t="s">
        <v>195</v>
      </c>
      <c r="R58" s="7" t="s">
        <v>36</v>
      </c>
      <c r="S58" s="7" t="s">
        <v>196</v>
      </c>
      <c r="T58" s="7">
        <v>2</v>
      </c>
      <c r="U58" s="9">
        <v>74019</v>
      </c>
      <c r="V58" s="7">
        <f t="shared" si="3"/>
        <v>148038</v>
      </c>
      <c r="W58" s="13">
        <f>LOOKUP(2,1/([1]UPH!$A$3:$A$211=C58),[1]UPH!$CJ$3:$CJ$211)</f>
        <v>8866.995073891625</v>
      </c>
      <c r="X58" s="13">
        <f>LOOKUP(2,1/([1]UPH!$A$3:$A$211=C58),[1]UPH!$CK$3:$CK$211)</f>
        <v>4078.8177339901481</v>
      </c>
      <c r="Y58" s="13">
        <f>LOOKUP(2,1/([1]UPH!$A$3:$A$211=C58),[1]UPH!$CL$3:$CL$211)</f>
        <v>1819.1382204812535</v>
      </c>
      <c r="Z58" s="13">
        <f>LOOKUP(2,1/([1]UPH!$A$3:$A$211=C58),[1]UPH!$CM$3:$CM$211)</f>
        <v>646.15384615384608</v>
      </c>
      <c r="AA58" s="13">
        <f>LOOKUP(2,1/([1]UPH!$A$3:$A$211=C58),[1]UPH!$CN$3:$CN$211)</f>
        <v>160</v>
      </c>
      <c r="AB58" s="13">
        <f>LOOKUP(2,1/([1]UPH!$A$3:$A$211=C58),[1]UPH!$CO$3:$CO$211)</f>
        <v>8121.6</v>
      </c>
      <c r="AC58" s="25">
        <f>VLOOKUP(G58,[1]Tech!$B$2:$E$22,4,0)</f>
        <v>360</v>
      </c>
      <c r="AD58" s="23">
        <f t="shared" si="13"/>
        <v>4500</v>
      </c>
      <c r="AE58" s="24">
        <f t="shared" si="14"/>
        <v>16.448666666666668</v>
      </c>
      <c r="AF58" s="7">
        <f>VLOOKUP(E58,'[1]Lot size'!$C$2:$E$20,3,0)</f>
        <v>48</v>
      </c>
      <c r="AG58" s="7">
        <f t="shared" si="6"/>
        <v>20</v>
      </c>
      <c r="AH58" s="7">
        <f t="shared" si="7"/>
        <v>4</v>
      </c>
      <c r="AI58" s="7">
        <f t="shared" si="8"/>
        <v>960</v>
      </c>
      <c r="AJ58" s="7">
        <f t="shared" si="9"/>
        <v>3840</v>
      </c>
      <c r="AK58" s="12">
        <f t="shared" si="10"/>
        <v>32.897333333333336</v>
      </c>
    </row>
    <row r="59" spans="1:37">
      <c r="A59" s="7" t="s">
        <v>168</v>
      </c>
      <c r="B59" s="7">
        <f>COUNTIF('[1]Raw data'!$A$3:$A$211,C59)</f>
        <v>1</v>
      </c>
      <c r="C59" s="7" t="str">
        <f t="shared" si="0"/>
        <v>SD_21.35X10.1_1_P3065KED24B3_PHNXX2MH3P06A</v>
      </c>
      <c r="D59" s="7" t="s">
        <v>168</v>
      </c>
      <c r="E59" s="7" t="s">
        <v>260</v>
      </c>
      <c r="F59" s="7">
        <f t="shared" si="1"/>
        <v>1</v>
      </c>
      <c r="G59" s="7" t="s">
        <v>283</v>
      </c>
      <c r="H59" s="7" t="s">
        <v>275</v>
      </c>
      <c r="J59" s="7" t="str">
        <f>VLOOKUP(M59,[2]Plan_82!$C$5:$L$420,9,0)</f>
        <v>24nm 64Gb EX3</v>
      </c>
      <c r="K59" s="7" t="str">
        <f>VLOOKUP(M59,[2]Plan_82!$C$5:$H$420,5,0)</f>
        <v>20-81-00303</v>
      </c>
      <c r="L59" s="7" t="s">
        <v>52</v>
      </c>
      <c r="M59" s="7" t="s">
        <v>292</v>
      </c>
      <c r="N59" s="7" t="str">
        <f t="shared" si="2"/>
        <v>54-82-08211-008G</v>
      </c>
      <c r="P59" s="7" t="s">
        <v>219</v>
      </c>
      <c r="Q59" s="7" t="s">
        <v>98</v>
      </c>
      <c r="R59" s="7" t="s">
        <v>220</v>
      </c>
      <c r="S59" s="7" t="s">
        <v>221</v>
      </c>
      <c r="T59" s="7">
        <v>1</v>
      </c>
      <c r="U59" s="9">
        <f>300300-100000</f>
        <v>200300</v>
      </c>
      <c r="V59" s="7">
        <f t="shared" si="3"/>
        <v>200300</v>
      </c>
      <c r="W59" s="13">
        <f>LOOKUP(2,1/([1]UPH!$A$3:$A$211=C59),[1]UPH!$CJ$3:$CJ$211)</f>
        <v>16566.716641679159</v>
      </c>
      <c r="X59" s="13">
        <f>LOOKUP(2,1/([1]UPH!$A$3:$A$211=C59),[1]UPH!$CK$3:$CK$211)</f>
        <v>7620.6896551724139</v>
      </c>
      <c r="Y59" s="13">
        <f>LOOKUP(2,1/([1]UPH!$A$3:$A$211=C59),[1]UPH!$CL$3:$CL$211)</f>
        <v>2959.5580602105888</v>
      </c>
      <c r="Z59" s="13">
        <f>LOOKUP(2,1/([1]UPH!$A$3:$A$211=C59),[1]UPH!$CM$3:$CM$211)</f>
        <v>884.21052631578948</v>
      </c>
      <c r="AA59" s="13">
        <f>LOOKUP(2,1/([1]UPH!$A$3:$A$211=C59),[1]UPH!$CN$3:$CN$211)</f>
        <v>340</v>
      </c>
      <c r="AB59" s="13">
        <f>LOOKUP(2,1/([1]UPH!$A$3:$A$211=C59),[1]UPH!$CO$3:$CO$211)</f>
        <v>11167.2</v>
      </c>
      <c r="AC59" s="25">
        <f>VLOOKUP(G59,[1]Tech!$B$2:$E$22,4,0)</f>
        <v>340</v>
      </c>
      <c r="AD59" s="23">
        <f t="shared" si="13"/>
        <v>8500</v>
      </c>
      <c r="AE59" s="24">
        <f t="shared" si="14"/>
        <v>23.564705882352943</v>
      </c>
      <c r="AF59" s="7">
        <f>VLOOKUP(E59,'[1]Lot size'!$C$2:$E$20,3,0)</f>
        <v>66</v>
      </c>
      <c r="AG59" s="7">
        <f t="shared" si="6"/>
        <v>20</v>
      </c>
      <c r="AH59" s="7">
        <f t="shared" si="7"/>
        <v>4</v>
      </c>
      <c r="AI59" s="7">
        <f t="shared" si="8"/>
        <v>1320</v>
      </c>
      <c r="AJ59" s="7">
        <f t="shared" si="9"/>
        <v>5280</v>
      </c>
      <c r="AK59" s="12">
        <f t="shared" si="10"/>
        <v>47.129411764705885</v>
      </c>
    </row>
    <row r="60" spans="1:37">
      <c r="A60" s="7" t="s">
        <v>168</v>
      </c>
      <c r="B60" s="7">
        <f>COUNTIF('[1]Raw data'!$A$3:$A$211,C60)</f>
        <v>1</v>
      </c>
      <c r="C60" s="7" t="str">
        <f t="shared" si="0"/>
        <v>SD_21.35X13.98_2_P3065KMA24B3_PHNXX2MH3P06A</v>
      </c>
      <c r="D60" s="7" t="s">
        <v>168</v>
      </c>
      <c r="E60" s="7" t="s">
        <v>262</v>
      </c>
      <c r="F60" s="7">
        <f t="shared" si="1"/>
        <v>2</v>
      </c>
      <c r="G60" s="7" t="s">
        <v>289</v>
      </c>
      <c r="H60" s="7" t="s">
        <v>275</v>
      </c>
      <c r="J60" s="7" t="str">
        <f>VLOOKUP(M60,[2]Plan_82!$C$5:$L$420,9,0)</f>
        <v>24nm 64Gb D2A</v>
      </c>
      <c r="K60" s="7" t="str">
        <f>VLOOKUP(M60,[2]Plan_82!$C$5:$H$420,5,0)</f>
        <v>20-81-00303</v>
      </c>
      <c r="L60" s="7" t="s">
        <v>52</v>
      </c>
      <c r="M60" s="7" t="s">
        <v>222</v>
      </c>
      <c r="N60" s="7" t="str">
        <f t="shared" si="2"/>
        <v>54-82-08707-008G</v>
      </c>
      <c r="O60" s="7" t="s">
        <v>69</v>
      </c>
      <c r="P60" s="7" t="s">
        <v>223</v>
      </c>
      <c r="Q60" s="7" t="s">
        <v>163</v>
      </c>
      <c r="R60" s="7" t="s">
        <v>127</v>
      </c>
      <c r="S60" s="7" t="s">
        <v>182</v>
      </c>
      <c r="T60" s="7">
        <v>2</v>
      </c>
      <c r="U60" s="9">
        <v>40312</v>
      </c>
      <c r="V60" s="7">
        <f t="shared" si="3"/>
        <v>80624</v>
      </c>
      <c r="W60" s="13">
        <f>LOOKUP(2,1/([1]UPH!$A$3:$A$211=C60),[1]UPH!$CJ$3:$CJ$211)</f>
        <v>6680.6242862580893</v>
      </c>
      <c r="X60" s="13">
        <f>LOOKUP(2,1/([1]UPH!$A$3:$A$211=C60),[1]UPH!$CK$3:$CK$211)</f>
        <v>3073.087171678721</v>
      </c>
      <c r="Y60" s="13">
        <f>LOOKUP(2,1/([1]UPH!$A$3:$A$211=C60),[1]UPH!$CL$3:$CL$211)</f>
        <v>1461.7580593091361</v>
      </c>
      <c r="Z60" s="13">
        <f>LOOKUP(2,1/([1]UPH!$A$3:$A$211=C60),[1]UPH!$CM$3:$CM$211)</f>
        <v>646.15384615384608</v>
      </c>
      <c r="AA60" s="13">
        <f>LOOKUP(2,1/([1]UPH!$A$3:$A$211=C60),[1]UPH!$CN$3:$CN$211)</f>
        <v>180</v>
      </c>
      <c r="AB60" s="13">
        <f>LOOKUP(2,1/([1]UPH!$A$3:$A$211=C60),[1]UPH!$CO$3:$CO$211)</f>
        <v>8121.6</v>
      </c>
      <c r="AC60" s="25">
        <f>VLOOKUP(G60,[1]Tech!$B$2:$E$22,4,0)</f>
        <v>270</v>
      </c>
      <c r="AD60" s="23">
        <f t="shared" si="13"/>
        <v>3375</v>
      </c>
      <c r="AE60" s="24">
        <f t="shared" si="14"/>
        <v>11.944296296296296</v>
      </c>
      <c r="AF60" s="7">
        <f>VLOOKUP(E60,'[1]Lot size'!$C$2:$E$20,3,0)</f>
        <v>48</v>
      </c>
      <c r="AG60" s="7">
        <f t="shared" si="6"/>
        <v>20</v>
      </c>
      <c r="AH60" s="7">
        <f t="shared" si="7"/>
        <v>4</v>
      </c>
      <c r="AI60" s="7">
        <f t="shared" si="8"/>
        <v>960</v>
      </c>
      <c r="AJ60" s="7">
        <f t="shared" si="9"/>
        <v>3840</v>
      </c>
      <c r="AK60" s="12">
        <f t="shared" si="10"/>
        <v>11.944296296296296</v>
      </c>
    </row>
    <row r="61" spans="1:37">
      <c r="A61" s="7" t="s">
        <v>224</v>
      </c>
      <c r="B61" s="7">
        <f>COUNTIF('[1]Raw data'!$A$3:$A$211,C61)</f>
        <v>1</v>
      </c>
      <c r="C61" s="7" t="str">
        <f t="shared" si="0"/>
        <v>LGA_14X18_4_P3032KMA32B3_NA</v>
      </c>
      <c r="D61" s="7" t="s">
        <v>246</v>
      </c>
      <c r="E61" s="7" t="s">
        <v>253</v>
      </c>
      <c r="F61" s="7">
        <f t="shared" si="1"/>
        <v>4</v>
      </c>
      <c r="G61" s="7" t="s">
        <v>279</v>
      </c>
      <c r="H61" s="7" t="s">
        <v>280</v>
      </c>
      <c r="J61" s="7" t="str">
        <f>VLOOKUP(M61,[2]Plan_82!$C$5:$L$420,9,0)</f>
        <v>32nm 32Gb D2</v>
      </c>
      <c r="K61" s="7">
        <f>VLOOKUP(M61,[2]Plan_82!$C$5:$H$420,5,0)</f>
        <v>0</v>
      </c>
      <c r="L61" s="7" t="s">
        <v>25</v>
      </c>
      <c r="M61" s="7" t="s">
        <v>225</v>
      </c>
      <c r="N61" s="7" t="str">
        <f t="shared" ref="N61" si="15">"54-82"&amp;MID(M61,6,20)</f>
        <v>54-82-05070-016G</v>
      </c>
      <c r="O61" s="7" t="s">
        <v>72</v>
      </c>
      <c r="P61" s="7" t="s">
        <v>226</v>
      </c>
      <c r="Q61" s="7" t="s">
        <v>227</v>
      </c>
      <c r="R61" s="7" t="s">
        <v>69</v>
      </c>
      <c r="S61" s="7" t="s">
        <v>228</v>
      </c>
      <c r="T61" s="7">
        <v>4</v>
      </c>
      <c r="U61" s="9">
        <v>7000</v>
      </c>
      <c r="V61" s="7">
        <f t="shared" si="3"/>
        <v>28000</v>
      </c>
      <c r="W61" s="13">
        <f>LOOKUP(2,1/([1]UPH!$A$3:$A$211=C61),[1]UPH!$CJ$3:$CJ$211)</f>
        <v>3330</v>
      </c>
      <c r="X61" s="13">
        <f>LOOKUP(2,1/([1]UPH!$A$3:$A$211=C61),[1]UPH!$CK$3:$CK$211)</f>
        <v>1305</v>
      </c>
      <c r="Y61" s="13">
        <f>LOOKUP(2,1/([1]UPH!$A$3:$A$211=C61),[1]UPH!$CL$3:$CL$211)</f>
        <v>720</v>
      </c>
      <c r="Z61" s="13">
        <f>LOOKUP(2,1/([1]UPH!$A$3:$A$211=C61),[1]UPH!$CM$3:$CM$211)</f>
        <v>400</v>
      </c>
      <c r="AA61" s="13">
        <f>LOOKUP(2,1/([1]UPH!$A$3:$A$211=C61),[1]UPH!$CN$3:$CN$211)</f>
        <v>160</v>
      </c>
      <c r="AB61" s="13">
        <f>LOOKUP(2,1/([1]UPH!$A$3:$A$211=C61),[1]UPH!$CO$3:$CO$211)</f>
        <v>8121.6</v>
      </c>
      <c r="AC61" s="25">
        <f>VLOOKUP(G61,[1]Tech!$B$2:$E$22,4,0)</f>
        <v>360</v>
      </c>
      <c r="AD61" s="23">
        <f t="shared" si="13"/>
        <v>2250</v>
      </c>
      <c r="AE61" s="24">
        <f t="shared" si="14"/>
        <v>3.1111111111111112</v>
      </c>
      <c r="AF61" s="7">
        <f>VLOOKUP(E61,'[1]Lot size'!$C$2:$E$20,3,0)</f>
        <v>48</v>
      </c>
      <c r="AG61" s="7">
        <f t="shared" si="6"/>
        <v>10</v>
      </c>
      <c r="AH61" s="7">
        <f t="shared" si="7"/>
        <v>2</v>
      </c>
      <c r="AI61" s="7">
        <f t="shared" si="8"/>
        <v>480</v>
      </c>
      <c r="AJ61" s="7">
        <f t="shared" si="9"/>
        <v>960</v>
      </c>
      <c r="AK61" s="12">
        <f t="shared" si="10"/>
        <v>9.3333333333333339</v>
      </c>
    </row>
    <row r="65" spans="21:21">
      <c r="U65" s="11"/>
    </row>
  </sheetData>
  <autoFilter ref="A1:AK6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Process</vt:lpstr>
      <vt:lpstr>MC qty</vt:lpstr>
      <vt:lpstr>Logic</vt:lpstr>
      <vt:lpstr>Loading</vt:lpstr>
      <vt:lpstr>BP wk42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2011-11-16T08:21:10Z</dcterms:modified>
</cp:coreProperties>
</file>