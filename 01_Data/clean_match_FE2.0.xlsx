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 activeTab="2"/>
  </bookViews>
  <sheets>
    <sheet name="Materials" sheetId="1" r:id="rId1"/>
    <sheet name="Orders" sheetId="2" r:id="rId2"/>
    <sheet name="overall" sheetId="3" r:id="rId3"/>
    <sheet name="MC qty" sheetId="4" r:id="rId4"/>
  </sheets>
  <definedNames>
    <definedName name="_xlnm._FilterDatabase" localSheetId="0" hidden="1">Materials!$A$1:$K$17</definedName>
    <definedName name="_xlnm._FilterDatabase" localSheetId="2" hidden="1">overall!$B$1:$B$43</definedName>
  </definedNames>
  <calcPr calcId="144525"/>
</workbook>
</file>

<file path=xl/sharedStrings.xml><?xml version="1.0" encoding="utf-8"?>
<sst xmlns="http://schemas.openxmlformats.org/spreadsheetml/2006/main" count="216" uniqueCount="95">
  <si>
    <t>MaterialID</t>
  </si>
  <si>
    <t>GoodDiePerWafer</t>
  </si>
  <si>
    <t>DiesPerUnit</t>
  </si>
  <si>
    <t>UPH_Taping</t>
  </si>
  <si>
    <t>UPH_BG</t>
  </si>
  <si>
    <t>UPH_DS</t>
  </si>
  <si>
    <t>UPH_DA</t>
  </si>
  <si>
    <t>UPH_WB</t>
  </si>
  <si>
    <t>UPH_Mold</t>
  </si>
  <si>
    <t>UnitsPerStrip</t>
  </si>
  <si>
    <t>StripsPerMag</t>
  </si>
  <si>
    <t>Magpersub1</t>
  </si>
  <si>
    <t>SubLotCapacity1</t>
  </si>
  <si>
    <t>Magpersub2</t>
  </si>
  <si>
    <t>SubLotCapacity2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</si>
  <si>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</si>
  <si>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</si>
  <si>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</si>
  <si>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</si>
  <si>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</si>
  <si>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</si>
  <si>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</si>
  <si>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</si>
  <si>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</si>
  <si>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</si>
  <si>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</si>
  <si>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</si>
  <si>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</si>
  <si>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</si>
  <si>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</si>
  <si>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</si>
  <si>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</si>
  <si>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</si>
  <si>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</si>
  <si>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</si>
  <si>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</si>
  <si>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订单号</t>
  </si>
  <si>
    <r>
      <rPr>
        <b/>
        <sz val="11"/>
        <color theme="1"/>
        <rFont val="Calibri"/>
        <charset val="134"/>
      </rPr>
      <t>PN</t>
    </r>
    <r>
      <rPr>
        <b/>
        <sz val="11"/>
        <color theme="1"/>
        <rFont val="宋体"/>
        <charset val="134"/>
      </rPr>
      <t>号</t>
    </r>
  </si>
  <si>
    <t>包装规格</t>
  </si>
  <si>
    <r>
      <rPr>
        <b/>
        <sz val="11"/>
        <color theme="1"/>
        <rFont val="宋体"/>
        <charset val="134"/>
      </rPr>
      <t>每unit上die数量</t>
    </r>
    <r>
      <rPr>
        <b/>
        <sz val="11"/>
        <color theme="1"/>
        <rFont val="Calibri"/>
        <charset val="134"/>
      </rPr>
      <t xml:space="preserve">
X</t>
    </r>
  </si>
  <si>
    <t>订单unit需求
Q</t>
  </si>
  <si>
    <t>订单开始时间</t>
  </si>
  <si>
    <t>订单预期完成时间</t>
  </si>
  <si>
    <t>每wafer上的可用die的数量
Dg</t>
  </si>
  <si>
    <t>每载带的 Unit数
Us</t>
  </si>
  <si>
    <t>每料盒的载带数
Sm</t>
  </si>
  <si>
    <t>每个M-lot上unit数（25wafer为1M-lot）
25·Dg/X</t>
  </si>
  <si>
    <t>每个Magazine上unit数
Us·Sm</t>
  </si>
  <si>
    <r>
      <rPr>
        <b/>
        <sz val="11"/>
        <color theme="1"/>
        <rFont val="Calibri"/>
        <charset val="134"/>
      </rPr>
      <t xml:space="preserve">Scenario 1
</t>
    </r>
    <r>
      <rPr>
        <b/>
        <sz val="11"/>
        <color theme="1"/>
        <rFont val="宋体"/>
        <charset val="134"/>
      </rPr>
      <t>每个sub-lot的</t>
    </r>
    <r>
      <rPr>
        <b/>
        <sz val="11"/>
        <color theme="1"/>
        <rFont val="Calibri"/>
        <charset val="134"/>
      </rPr>
      <t>Magzine</t>
    </r>
    <r>
      <rPr>
        <b/>
        <sz val="11"/>
        <color theme="1"/>
        <rFont val="宋体"/>
        <charset val="134"/>
      </rPr>
      <t>数</t>
    </r>
    <r>
      <rPr>
        <b/>
        <sz val="11"/>
        <color theme="1"/>
        <rFont val="Calibri"/>
        <charset val="134"/>
      </rPr>
      <t xml:space="preserve">
m</t>
    </r>
  </si>
  <si>
    <r>
      <rPr>
        <b/>
        <sz val="11"/>
        <color theme="1"/>
        <rFont val="Calibri"/>
        <charset val="134"/>
      </rPr>
      <t xml:space="preserve">Scenario 1
</t>
    </r>
    <r>
      <rPr>
        <b/>
        <sz val="11"/>
        <color theme="1"/>
        <rFont val="宋体"/>
        <charset val="134"/>
      </rPr>
      <t>每个</t>
    </r>
    <r>
      <rPr>
        <b/>
        <sz val="11"/>
        <color theme="1"/>
        <rFont val="Calibri"/>
        <charset val="134"/>
      </rPr>
      <t>sub-lot</t>
    </r>
    <r>
      <rPr>
        <b/>
        <sz val="11"/>
        <color theme="1"/>
        <rFont val="宋体"/>
        <charset val="134"/>
      </rPr>
      <t>上</t>
    </r>
    <r>
      <rPr>
        <b/>
        <sz val="11"/>
        <color theme="1"/>
        <rFont val="Calibri"/>
        <charset val="134"/>
      </rPr>
      <t>unit</t>
    </r>
    <r>
      <rPr>
        <b/>
        <sz val="11"/>
        <color theme="1"/>
        <rFont val="宋体"/>
        <charset val="134"/>
      </rPr>
      <t>数</t>
    </r>
    <r>
      <rPr>
        <b/>
        <sz val="11"/>
        <color theme="1"/>
        <rFont val="Calibri"/>
        <charset val="134"/>
      </rPr>
      <t xml:space="preserve">
m·Us·Sm</t>
    </r>
  </si>
  <si>
    <r>
      <rPr>
        <b/>
        <sz val="11"/>
        <color theme="1"/>
        <rFont val="Calibri"/>
        <charset val="134"/>
      </rPr>
      <t xml:space="preserve">Scenario 2
</t>
    </r>
    <r>
      <rPr>
        <b/>
        <sz val="11"/>
        <color theme="1"/>
        <rFont val="宋体"/>
        <charset val="134"/>
      </rPr>
      <t>每个</t>
    </r>
    <r>
      <rPr>
        <b/>
        <sz val="11"/>
        <color theme="1"/>
        <rFont val="Calibri"/>
        <charset val="134"/>
      </rPr>
      <t>sub-lot</t>
    </r>
    <r>
      <rPr>
        <b/>
        <sz val="11"/>
        <color theme="1"/>
        <rFont val="宋体"/>
        <charset val="134"/>
      </rPr>
      <t>的</t>
    </r>
    <r>
      <rPr>
        <b/>
        <sz val="11"/>
        <color theme="1"/>
        <rFont val="Calibri"/>
        <charset val="134"/>
      </rPr>
      <t>Magzine</t>
    </r>
    <r>
      <rPr>
        <b/>
        <sz val="11"/>
        <color theme="1"/>
        <rFont val="宋体"/>
        <charset val="134"/>
      </rPr>
      <t>数</t>
    </r>
    <r>
      <rPr>
        <b/>
        <sz val="11"/>
        <color theme="1"/>
        <rFont val="Calibri"/>
        <charset val="134"/>
      </rPr>
      <t xml:space="preserve">
m</t>
    </r>
  </si>
  <si>
    <r>
      <rPr>
        <b/>
        <sz val="11"/>
        <color theme="1"/>
        <rFont val="Calibri"/>
        <charset val="134"/>
      </rPr>
      <t xml:space="preserve">Scenario 2
</t>
    </r>
    <r>
      <rPr>
        <b/>
        <sz val="11"/>
        <color theme="1"/>
        <rFont val="宋体"/>
        <charset val="134"/>
      </rPr>
      <t>每个</t>
    </r>
    <r>
      <rPr>
        <b/>
        <sz val="11"/>
        <color theme="1"/>
        <rFont val="Calibri"/>
        <charset val="134"/>
      </rPr>
      <t>sub-lot</t>
    </r>
    <r>
      <rPr>
        <b/>
        <sz val="11"/>
        <color theme="1"/>
        <rFont val="宋体"/>
        <charset val="134"/>
      </rPr>
      <t>上</t>
    </r>
    <r>
      <rPr>
        <b/>
        <sz val="11"/>
        <color theme="1"/>
        <rFont val="Calibri"/>
        <charset val="134"/>
      </rPr>
      <t>unit</t>
    </r>
    <r>
      <rPr>
        <b/>
        <sz val="11"/>
        <color theme="1"/>
        <rFont val="宋体"/>
        <charset val="134"/>
      </rPr>
      <t>数</t>
    </r>
    <r>
      <rPr>
        <b/>
        <sz val="11"/>
        <color theme="1"/>
        <rFont val="Calibri"/>
        <charset val="134"/>
      </rPr>
      <t xml:space="preserve">
m·Us·Sm</t>
    </r>
  </si>
  <si>
    <t>每小时处理unit的最多数量</t>
  </si>
  <si>
    <t>Order Number</t>
  </si>
  <si>
    <t>Material</t>
  </si>
  <si>
    <t>pkg</t>
  </si>
  <si>
    <t>die</t>
  </si>
  <si>
    <t xml:space="preserve">   Order Qty</t>
  </si>
  <si>
    <t>Basic Start Date/STO Created Date</t>
  </si>
  <si>
    <t>Basic End Date/STO Goods Issue Date</t>
  </si>
  <si>
    <t>Good die</t>
  </si>
  <si>
    <t>Unit/strip</t>
  </si>
  <si>
    <t>Strip/magazine</t>
  </si>
  <si>
    <t>M-Lot batch size</t>
  </si>
  <si>
    <t>Magazine batch size</t>
  </si>
  <si>
    <t>Magazine/
sub-lot</t>
  </si>
  <si>
    <t>Sub-lot batch size</t>
  </si>
  <si>
    <t>Taping</t>
  </si>
  <si>
    <t>B/G</t>
  </si>
  <si>
    <t>D/S</t>
  </si>
  <si>
    <t>DA</t>
  </si>
  <si>
    <t>WB</t>
  </si>
  <si>
    <t>MOLD</t>
  </si>
  <si>
    <t>2DLGA21.35X13.98</t>
  </si>
  <si>
    <t>LGA21.35X10.1</t>
  </si>
  <si>
    <t>4DLGA 14X18</t>
  </si>
  <si>
    <t>BGA 13X11.5</t>
  </si>
  <si>
    <t>BGA12*16</t>
  </si>
  <si>
    <t>4DLGA21.35X13.98</t>
  </si>
  <si>
    <t>8DLGA21.35X13.98</t>
  </si>
  <si>
    <t>8D LGA 14X18</t>
  </si>
  <si>
    <t>LGA15X10</t>
  </si>
  <si>
    <t>LGA11X15</t>
  </si>
  <si>
    <t>DDLGA11X15</t>
  </si>
  <si>
    <t>No.</t>
  </si>
  <si>
    <t>Station</t>
  </si>
  <si>
    <t>MC qty</t>
  </si>
  <si>
    <t>Man/Machine rate</t>
  </si>
  <si>
    <t>Operator qty</t>
  </si>
  <si>
    <t>MC Utilization</t>
  </si>
  <si>
    <t>1/4</t>
  </si>
  <si>
    <t>1/2</t>
  </si>
  <si>
    <t>1/6</t>
  </si>
  <si>
    <t>1/12</t>
  </si>
  <si>
    <t>1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</si>
</sst>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_);[Red]\(#,##0\)"/>
    <numFmt numFmtId="178" formatCode="yyyy/m/d\ h:mm;@"/>
    <numFmt numFmtId="179" formatCode="_ * #,##0_ ;_ * \-#,##0_ ;_ * &quot;-&quot;??_ ;_ @_ "/>
    <numFmt numFmtId="180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0" borderId="1" xfId="0" applyFont="1" applyFill="1" applyBorder="1" applyAlignment="1"/>
    <xf numFmtId="49" fontId="2" fillId="0" borderId="1" xfId="0" applyNumberFormat="1" applyFont="1" applyFill="1" applyBorder="1" applyAlignment="1"/>
    <xf numFmtId="9" fontId="2" fillId="0" borderId="1" xfId="0" applyNumberFormat="1" applyFont="1" applyFill="1" applyBorder="1" applyAlignment="1"/>
    <xf numFmtId="0" fontId="3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>
      <alignment wrapText="1"/>
    </xf>
    <xf numFmtId="0" fontId="1" fillId="3" borderId="0" xfId="0" applyFont="1" applyFill="1" applyAlignment="1"/>
    <xf numFmtId="177" fontId="1" fillId="3" borderId="0" xfId="0" applyNumberFormat="1" applyFont="1" applyFill="1" applyAlignment="1"/>
    <xf numFmtId="43" fontId="1" fillId="3" borderId="0" xfId="8" applyFont="1" applyFill="1" applyAlignment="1"/>
    <xf numFmtId="0" fontId="2" fillId="0" borderId="0" xfId="0" applyFont="1" applyFill="1" applyAlignment="1"/>
    <xf numFmtId="177" fontId="2" fillId="0" borderId="0" xfId="0" applyNumberFormat="1" applyFont="1" applyFill="1" applyAlignment="1"/>
    <xf numFmtId="178" fontId="2" fillId="0" borderId="0" xfId="0" applyNumberFormat="1" applyFont="1" applyFill="1" applyAlignment="1"/>
    <xf numFmtId="43" fontId="2" fillId="0" borderId="0" xfId="8" applyFont="1" applyAlignment="1"/>
    <xf numFmtId="179" fontId="1" fillId="4" borderId="1" xfId="8" applyNumberFormat="1" applyFont="1" applyFill="1" applyBorder="1" applyAlignment="1">
      <alignment vertical="center" wrapText="1"/>
    </xf>
    <xf numFmtId="179" fontId="1" fillId="4" borderId="1" xfId="8" applyNumberFormat="1" applyFont="1" applyFill="1" applyBorder="1" applyAlignment="1">
      <alignment horizontal="center" vertical="center" wrapText="1"/>
    </xf>
    <xf numFmtId="43" fontId="2" fillId="0" borderId="0" xfId="0" applyNumberFormat="1" applyFont="1" applyFill="1" applyAlignment="1"/>
    <xf numFmtId="3" fontId="2" fillId="2" borderId="1" xfId="0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80" fontId="0" fillId="0" borderId="0" xfId="0" applyNumberFormat="1">
      <alignment vertical="center"/>
    </xf>
    <xf numFmtId="180" fontId="1" fillId="3" borderId="0" xfId="0" applyNumberFormat="1" applyFont="1" applyFill="1" applyAlignment="1"/>
    <xf numFmtId="180" fontId="2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opLeftCell="D1" workbookViewId="0">
      <selection activeCell="R14" sqref="R14"/>
    </sheetView>
  </sheetViews>
  <sheetFormatPr defaultColWidth="8.72727272727273" defaultRowHeight="14"/>
  <cols>
    <col min="1" max="1" width="17.6363636363636" customWidth="1"/>
    <col min="2" max="3" width="19.2727272727273" customWidth="1"/>
    <col min="4" max="4" width="14.0909090909091" customWidth="1"/>
    <col min="5" max="5" width="8.54545454545454" customWidth="1"/>
    <col min="6" max="6" width="8.36363636363636" customWidth="1"/>
    <col min="7" max="7" width="8.63636363636364" customWidth="1"/>
    <col min="8" max="8" width="9.09090909090909" customWidth="1"/>
    <col min="9" max="9" width="10.6363636363636" customWidth="1"/>
    <col min="10" max="10" width="13" customWidth="1"/>
    <col min="11" max="11" width="13.0909090909091" customWidth="1"/>
    <col min="12" max="12" width="12.2727272727273" customWidth="1"/>
    <col min="13" max="13" width="16.0909090909091" customWidth="1"/>
    <col min="14" max="14" width="12.2727272727273" customWidth="1"/>
    <col min="15" max="15" width="16.0909090909091" customWidth="1"/>
  </cols>
  <sheetData>
    <row r="1" ht="14.5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ht="14.5" spans="1:15">
      <c r="A2" s="11" t="s">
        <v>15</v>
      </c>
      <c r="B2" s="14">
        <v>270</v>
      </c>
      <c r="C2" s="11">
        <v>8</v>
      </c>
      <c r="D2" s="11">
        <v>876.316972087682</v>
      </c>
      <c r="E2" s="11">
        <v>488.575345953425</v>
      </c>
      <c r="F2" s="11">
        <v>198.091910776673</v>
      </c>
      <c r="G2" s="11">
        <v>75.6756756756757</v>
      </c>
      <c r="H2" s="11">
        <v>60</v>
      </c>
      <c r="I2" s="11">
        <v>8121.6</v>
      </c>
      <c r="J2" s="11">
        <v>48</v>
      </c>
      <c r="K2" s="11">
        <v>10</v>
      </c>
      <c r="L2">
        <v>1</v>
      </c>
      <c r="M2">
        <v>480</v>
      </c>
      <c r="N2">
        <v>1</v>
      </c>
      <c r="O2">
        <v>480</v>
      </c>
    </row>
    <row r="3" ht="14.5" spans="1:15">
      <c r="A3" s="11" t="s">
        <v>16</v>
      </c>
      <c r="B3" s="14">
        <v>270</v>
      </c>
      <c r="C3" s="11">
        <v>2</v>
      </c>
      <c r="D3" s="11">
        <v>6680.62428625809</v>
      </c>
      <c r="E3" s="11">
        <v>3073.08717167872</v>
      </c>
      <c r="F3" s="11">
        <v>1461.75805930914</v>
      </c>
      <c r="G3" s="11">
        <v>646.153846153846</v>
      </c>
      <c r="H3" s="11">
        <v>180</v>
      </c>
      <c r="I3" s="11">
        <v>8121.6</v>
      </c>
      <c r="J3" s="11">
        <v>48</v>
      </c>
      <c r="K3" s="11">
        <v>20</v>
      </c>
      <c r="L3">
        <v>4</v>
      </c>
      <c r="M3">
        <v>3840</v>
      </c>
      <c r="N3">
        <v>2</v>
      </c>
      <c r="O3">
        <v>1920</v>
      </c>
    </row>
    <row r="4" ht="14.5" spans="1:15">
      <c r="A4" s="11" t="s">
        <v>17</v>
      </c>
      <c r="B4" s="14">
        <v>290</v>
      </c>
      <c r="C4" s="11">
        <v>4</v>
      </c>
      <c r="D4" s="11">
        <v>3235.97743113176</v>
      </c>
      <c r="E4" s="11">
        <v>1488.54961832061</v>
      </c>
      <c r="F4" s="11">
        <v>776.491599417912</v>
      </c>
      <c r="G4" s="11">
        <v>420</v>
      </c>
      <c r="H4" s="11">
        <v>110</v>
      </c>
      <c r="I4" s="11">
        <v>8121.6</v>
      </c>
      <c r="J4" s="11">
        <v>48</v>
      </c>
      <c r="K4" s="11">
        <v>10</v>
      </c>
      <c r="L4">
        <v>2</v>
      </c>
      <c r="M4">
        <v>960</v>
      </c>
      <c r="N4">
        <v>2</v>
      </c>
      <c r="O4">
        <v>960</v>
      </c>
    </row>
    <row r="5" ht="14.5" spans="1:15">
      <c r="A5" s="11" t="s">
        <v>18</v>
      </c>
      <c r="B5" s="14">
        <v>290</v>
      </c>
      <c r="C5" s="11">
        <v>2</v>
      </c>
      <c r="D5" s="11">
        <v>6444.15069398546</v>
      </c>
      <c r="E5" s="11">
        <v>2964.30931923331</v>
      </c>
      <c r="F5" s="11">
        <v>1446.0458240946</v>
      </c>
      <c r="G5" s="11">
        <v>646.153846153846</v>
      </c>
      <c r="H5" s="11">
        <v>190</v>
      </c>
      <c r="I5" s="11">
        <v>8121.6</v>
      </c>
      <c r="J5" s="11">
        <v>48</v>
      </c>
      <c r="K5" s="11">
        <v>20</v>
      </c>
      <c r="L5">
        <v>4</v>
      </c>
      <c r="M5">
        <v>3840</v>
      </c>
      <c r="N5">
        <v>2</v>
      </c>
      <c r="O5">
        <v>1920</v>
      </c>
    </row>
    <row r="6" ht="14.5" spans="1:15">
      <c r="A6" s="11" t="s">
        <v>19</v>
      </c>
      <c r="B6" s="14">
        <v>700</v>
      </c>
      <c r="C6" s="11">
        <v>1</v>
      </c>
      <c r="D6" s="11">
        <v>29588.8399412628</v>
      </c>
      <c r="E6" s="11">
        <v>13610.8663729809</v>
      </c>
      <c r="F6" s="11">
        <v>3687.58169934641</v>
      </c>
      <c r="G6" s="11">
        <v>884.210526315789</v>
      </c>
      <c r="H6" s="11">
        <v>330</v>
      </c>
      <c r="I6" s="11">
        <v>11167.2</v>
      </c>
      <c r="J6" s="11">
        <v>66</v>
      </c>
      <c r="K6" s="11">
        <v>20</v>
      </c>
      <c r="L6">
        <v>4</v>
      </c>
      <c r="M6">
        <v>5280</v>
      </c>
      <c r="N6">
        <v>2</v>
      </c>
      <c r="O6">
        <v>2640</v>
      </c>
    </row>
    <row r="7" ht="14.5" spans="1:15">
      <c r="A7" s="11" t="s">
        <v>20</v>
      </c>
      <c r="B7" s="14">
        <v>700</v>
      </c>
      <c r="C7" s="11">
        <v>1</v>
      </c>
      <c r="D7" s="11">
        <v>29588.8399412628</v>
      </c>
      <c r="E7" s="11">
        <v>13610.8663729809</v>
      </c>
      <c r="F7" s="11">
        <v>3687.58169934641</v>
      </c>
      <c r="G7" s="11">
        <v>944.186046511628</v>
      </c>
      <c r="H7" s="11">
        <v>360</v>
      </c>
      <c r="I7" s="11">
        <v>13536</v>
      </c>
      <c r="J7" s="11">
        <v>80</v>
      </c>
      <c r="K7" s="11">
        <v>20</v>
      </c>
      <c r="L7">
        <v>4</v>
      </c>
      <c r="M7">
        <v>6400</v>
      </c>
      <c r="N7">
        <v>2</v>
      </c>
      <c r="O7">
        <v>3200</v>
      </c>
    </row>
    <row r="8" ht="14.5" spans="1:15">
      <c r="A8" s="11" t="s">
        <v>21</v>
      </c>
      <c r="B8" s="14">
        <v>290</v>
      </c>
      <c r="C8" s="11">
        <v>1</v>
      </c>
      <c r="D8" s="11">
        <v>12518.5185185185</v>
      </c>
      <c r="E8" s="11">
        <v>5796.12299465241</v>
      </c>
      <c r="F8" s="11">
        <v>2450.73068893528</v>
      </c>
      <c r="G8" s="11">
        <v>897.619047619048</v>
      </c>
      <c r="H8" s="11">
        <v>300</v>
      </c>
      <c r="I8" s="11">
        <v>12182.4</v>
      </c>
      <c r="J8" s="11">
        <v>72</v>
      </c>
      <c r="K8" s="11">
        <v>20</v>
      </c>
      <c r="L8">
        <v>4</v>
      </c>
      <c r="M8">
        <v>5760</v>
      </c>
      <c r="N8">
        <v>2</v>
      </c>
      <c r="O8">
        <v>2880</v>
      </c>
    </row>
    <row r="9" ht="14.5" spans="1:15">
      <c r="A9" s="11" t="s">
        <v>22</v>
      </c>
      <c r="B9" s="14">
        <v>860</v>
      </c>
      <c r="C9" s="11">
        <v>1</v>
      </c>
      <c r="D9" s="11">
        <v>37193.4604904632</v>
      </c>
      <c r="E9" s="11">
        <v>17108.9918256131</v>
      </c>
      <c r="F9" s="11">
        <v>2951.35135135135</v>
      </c>
      <c r="G9" s="11">
        <v>563.888888888889</v>
      </c>
      <c r="H9" s="11">
        <v>320</v>
      </c>
      <c r="I9" s="11">
        <v>14889.6</v>
      </c>
      <c r="J9" s="11">
        <v>88</v>
      </c>
      <c r="K9" s="11">
        <v>20</v>
      </c>
      <c r="L9">
        <v>4</v>
      </c>
      <c r="M9">
        <v>7040</v>
      </c>
      <c r="N9">
        <v>2</v>
      </c>
      <c r="O9">
        <v>3520</v>
      </c>
    </row>
    <row r="10" ht="14.5" spans="1:15">
      <c r="A10" s="11" t="s">
        <v>23</v>
      </c>
      <c r="B10" s="14">
        <v>360</v>
      </c>
      <c r="C10" s="11">
        <v>2</v>
      </c>
      <c r="D10" s="11">
        <v>8866.99507389162</v>
      </c>
      <c r="E10" s="11">
        <v>4078.81773399015</v>
      </c>
      <c r="F10" s="11">
        <v>1819.13822048125</v>
      </c>
      <c r="G10" s="11">
        <v>646.153846153846</v>
      </c>
      <c r="H10" s="11">
        <v>160</v>
      </c>
      <c r="I10" s="11">
        <v>8121.6</v>
      </c>
      <c r="J10" s="11">
        <v>48</v>
      </c>
      <c r="K10" s="11">
        <v>20</v>
      </c>
      <c r="L10">
        <v>4</v>
      </c>
      <c r="M10">
        <v>3840</v>
      </c>
      <c r="N10">
        <v>2</v>
      </c>
      <c r="O10">
        <v>1920</v>
      </c>
    </row>
    <row r="11" ht="14.5" spans="1:15">
      <c r="A11" s="11" t="s">
        <v>24</v>
      </c>
      <c r="B11" s="14">
        <v>600</v>
      </c>
      <c r="C11" s="11">
        <v>2</v>
      </c>
      <c r="D11" s="11">
        <v>10461.9368203004</v>
      </c>
      <c r="E11" s="11">
        <v>4171.23287671233</v>
      </c>
      <c r="F11" s="11">
        <v>2075.29411764706</v>
      </c>
      <c r="G11" s="11">
        <v>637.254901960784</v>
      </c>
      <c r="H11" s="11">
        <v>150</v>
      </c>
      <c r="I11" s="11">
        <v>13536</v>
      </c>
      <c r="J11" s="11">
        <v>80</v>
      </c>
      <c r="K11" s="11">
        <v>20</v>
      </c>
      <c r="L11">
        <v>4</v>
      </c>
      <c r="M11">
        <v>6400</v>
      </c>
      <c r="N11">
        <v>2</v>
      </c>
      <c r="O11">
        <v>3200</v>
      </c>
    </row>
    <row r="12" ht="14.5" spans="1:15">
      <c r="A12" s="11" t="s">
        <v>25</v>
      </c>
      <c r="B12" s="14">
        <v>520</v>
      </c>
      <c r="C12" s="11">
        <v>1</v>
      </c>
      <c r="D12" s="11">
        <v>24813.9255702281</v>
      </c>
      <c r="E12" s="11">
        <v>11543.0580347425</v>
      </c>
      <c r="F12" s="11">
        <v>4140.76829901367</v>
      </c>
      <c r="G12" s="11">
        <v>897.619047619048</v>
      </c>
      <c r="H12" s="11">
        <v>230</v>
      </c>
      <c r="I12" s="11">
        <v>13536</v>
      </c>
      <c r="J12" s="11">
        <v>80</v>
      </c>
      <c r="K12" s="11">
        <v>20</v>
      </c>
      <c r="L12">
        <v>4</v>
      </c>
      <c r="M12">
        <v>6400</v>
      </c>
      <c r="N12">
        <v>2</v>
      </c>
      <c r="O12">
        <v>3200</v>
      </c>
    </row>
    <row r="13" ht="14.5" spans="1:15">
      <c r="A13" s="11" t="s">
        <v>26</v>
      </c>
      <c r="B13" s="14">
        <v>590</v>
      </c>
      <c r="C13" s="11">
        <v>1</v>
      </c>
      <c r="D13" s="11">
        <v>28571.4285714286</v>
      </c>
      <c r="E13" s="11">
        <v>13142.8571428571</v>
      </c>
      <c r="F13" s="11">
        <v>3911.45038167939</v>
      </c>
      <c r="G13" s="11">
        <v>944.186046511628</v>
      </c>
      <c r="H13" s="11">
        <v>270</v>
      </c>
      <c r="I13" s="11">
        <v>13536</v>
      </c>
      <c r="J13" s="11">
        <v>80</v>
      </c>
      <c r="K13" s="11">
        <v>20</v>
      </c>
      <c r="L13">
        <v>4</v>
      </c>
      <c r="M13">
        <v>6400</v>
      </c>
      <c r="N13">
        <v>2</v>
      </c>
      <c r="O13">
        <v>3200</v>
      </c>
    </row>
    <row r="14" ht="14.5" spans="1:15">
      <c r="A14" s="11" t="s">
        <v>27</v>
      </c>
      <c r="B14" s="14">
        <v>860</v>
      </c>
      <c r="C14" s="11">
        <v>1</v>
      </c>
      <c r="D14" s="11">
        <v>39252.3364485981</v>
      </c>
      <c r="E14" s="11">
        <v>18056.0747663551</v>
      </c>
      <c r="F14" s="11">
        <v>4200</v>
      </c>
      <c r="G14" s="11">
        <v>944.186046511628</v>
      </c>
      <c r="H14" s="11">
        <v>315</v>
      </c>
      <c r="I14" s="11">
        <v>13536</v>
      </c>
      <c r="J14" s="11">
        <v>80</v>
      </c>
      <c r="K14" s="11">
        <v>20</v>
      </c>
      <c r="L14">
        <v>4</v>
      </c>
      <c r="M14">
        <v>6400</v>
      </c>
      <c r="N14">
        <v>2</v>
      </c>
      <c r="O14">
        <v>3200</v>
      </c>
    </row>
    <row r="15" ht="14.5" spans="1:15">
      <c r="A15" s="11" t="s">
        <v>28</v>
      </c>
      <c r="B15" s="14">
        <v>360</v>
      </c>
      <c r="C15" s="11">
        <v>4</v>
      </c>
      <c r="D15" s="11">
        <v>3330</v>
      </c>
      <c r="E15" s="11">
        <v>1305</v>
      </c>
      <c r="F15" s="11">
        <v>720</v>
      </c>
      <c r="G15" s="11">
        <v>400</v>
      </c>
      <c r="H15" s="11">
        <v>160</v>
      </c>
      <c r="I15" s="11">
        <v>8121.6</v>
      </c>
      <c r="J15" s="11">
        <v>48</v>
      </c>
      <c r="K15" s="11">
        <v>10</v>
      </c>
      <c r="L15">
        <v>2</v>
      </c>
      <c r="M15">
        <v>960</v>
      </c>
      <c r="N15">
        <v>2</v>
      </c>
      <c r="O15">
        <v>960</v>
      </c>
    </row>
    <row r="16" ht="14.5" spans="1:15">
      <c r="A16" s="11" t="s">
        <v>29</v>
      </c>
      <c r="B16" s="14">
        <v>270</v>
      </c>
      <c r="C16" s="11">
        <v>8</v>
      </c>
      <c r="D16" s="11">
        <v>877.5</v>
      </c>
      <c r="E16" s="11">
        <v>489.375</v>
      </c>
      <c r="F16" s="11">
        <v>202.5</v>
      </c>
      <c r="G16" s="11">
        <v>80</v>
      </c>
      <c r="H16" s="11">
        <v>35</v>
      </c>
      <c r="I16" s="11">
        <v>8121.6</v>
      </c>
      <c r="J16" s="11">
        <v>48</v>
      </c>
      <c r="K16" s="11">
        <v>10</v>
      </c>
      <c r="L16">
        <v>1</v>
      </c>
      <c r="M16">
        <v>480</v>
      </c>
      <c r="N16">
        <v>1</v>
      </c>
      <c r="O16">
        <v>480</v>
      </c>
    </row>
    <row r="17" ht="14.5" spans="1:15">
      <c r="A17" s="11" t="s">
        <v>30</v>
      </c>
      <c r="B17" s="14">
        <v>270</v>
      </c>
      <c r="C17" s="11">
        <v>4</v>
      </c>
      <c r="D17" s="11">
        <v>2497.5</v>
      </c>
      <c r="E17" s="11">
        <v>978.75</v>
      </c>
      <c r="F17" s="11">
        <v>540</v>
      </c>
      <c r="G17" s="11">
        <v>400</v>
      </c>
      <c r="H17" s="11">
        <v>80</v>
      </c>
      <c r="I17" s="11">
        <v>8121.6</v>
      </c>
      <c r="J17" s="11">
        <v>48</v>
      </c>
      <c r="K17" s="11">
        <v>10</v>
      </c>
      <c r="L17">
        <v>2</v>
      </c>
      <c r="M17">
        <v>960</v>
      </c>
      <c r="N17">
        <v>2</v>
      </c>
      <c r="O17">
        <v>960</v>
      </c>
    </row>
  </sheetData>
  <autoFilter ref="A1:K17">
    <sortState ref="A1:K17">
      <sortCondition ref="A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selection activeCell="H20" sqref="H20"/>
    </sheetView>
  </sheetViews>
  <sheetFormatPr defaultColWidth="8.72727272727273" defaultRowHeight="14" outlineLevelCol="4"/>
  <cols>
    <col min="1" max="1" width="13.7272727272727" customWidth="1"/>
    <col min="2" max="2" width="17.6363636363636" customWidth="1"/>
    <col min="3" max="3" width="9.45454545454546" style="21" customWidth="1"/>
    <col min="4" max="5" width="14.7272727272727" customWidth="1"/>
  </cols>
  <sheetData>
    <row r="1" ht="14.5" spans="1:5">
      <c r="A1" s="8" t="s">
        <v>31</v>
      </c>
      <c r="B1" s="8" t="s">
        <v>32</v>
      </c>
      <c r="C1" s="22" t="s">
        <v>33</v>
      </c>
      <c r="D1" s="8" t="s">
        <v>34</v>
      </c>
      <c r="E1" s="8" t="s">
        <v>35</v>
      </c>
    </row>
    <row r="2" ht="14.5" spans="1:5">
      <c r="A2" s="11">
        <v>39551295</v>
      </c>
      <c r="B2" s="11" t="s">
        <v>23</v>
      </c>
      <c r="C2" s="23">
        <v>29092</v>
      </c>
      <c r="D2" s="13">
        <v>40917</v>
      </c>
      <c r="E2" s="13">
        <v>40922</v>
      </c>
    </row>
    <row r="3" ht="14.5" spans="1:5">
      <c r="A3" s="11">
        <v>39556108</v>
      </c>
      <c r="B3" s="11" t="s">
        <v>19</v>
      </c>
      <c r="C3" s="23">
        <v>24321</v>
      </c>
      <c r="D3" s="13">
        <v>40917</v>
      </c>
      <c r="E3" s="13">
        <v>40917</v>
      </c>
    </row>
    <row r="4" ht="14.5" spans="1:5">
      <c r="A4" s="11">
        <v>39557307</v>
      </c>
      <c r="B4" s="11" t="s">
        <v>19</v>
      </c>
      <c r="C4" s="23">
        <v>45315</v>
      </c>
      <c r="D4" s="13">
        <v>40917</v>
      </c>
      <c r="E4" s="13">
        <v>40917</v>
      </c>
    </row>
    <row r="5" ht="14.5" spans="1:5">
      <c r="A5" s="11">
        <v>39557829</v>
      </c>
      <c r="B5" s="11" t="s">
        <v>19</v>
      </c>
      <c r="C5" s="23">
        <v>118</v>
      </c>
      <c r="D5" s="13">
        <v>40917</v>
      </c>
      <c r="E5" s="13">
        <v>40917</v>
      </c>
    </row>
    <row r="6" ht="14.5" spans="1:5">
      <c r="A6" s="11">
        <v>39558090</v>
      </c>
      <c r="B6" s="11" t="s">
        <v>28</v>
      </c>
      <c r="C6" s="23">
        <v>2400</v>
      </c>
      <c r="D6" s="13">
        <v>40919</v>
      </c>
      <c r="E6" s="13">
        <v>40932</v>
      </c>
    </row>
    <row r="7" ht="14.5" spans="1:5">
      <c r="A7" s="11">
        <v>39762322</v>
      </c>
      <c r="B7" s="11" t="s">
        <v>27</v>
      </c>
      <c r="C7" s="23">
        <v>30000</v>
      </c>
      <c r="D7" s="13">
        <v>40920</v>
      </c>
      <c r="E7" s="13">
        <v>40928</v>
      </c>
    </row>
    <row r="8" ht="14.5" spans="1:5">
      <c r="A8" s="11">
        <v>39597248</v>
      </c>
      <c r="B8" s="11" t="s">
        <v>26</v>
      </c>
      <c r="C8" s="23">
        <v>269556</v>
      </c>
      <c r="D8" s="13">
        <v>40920</v>
      </c>
      <c r="E8" s="13">
        <v>40928</v>
      </c>
    </row>
    <row r="9" ht="14.5" spans="1:5">
      <c r="A9" s="11">
        <v>39549836</v>
      </c>
      <c r="B9" s="11" t="s">
        <v>21</v>
      </c>
      <c r="C9" s="23">
        <v>44471</v>
      </c>
      <c r="D9" s="13">
        <v>40919</v>
      </c>
      <c r="E9" s="13">
        <v>40927</v>
      </c>
    </row>
    <row r="10" ht="14.5" spans="1:5">
      <c r="A10" s="11">
        <v>39561718</v>
      </c>
      <c r="B10" s="11" t="s">
        <v>21</v>
      </c>
      <c r="C10" s="23">
        <v>26257</v>
      </c>
      <c r="D10" s="13">
        <v>40919</v>
      </c>
      <c r="E10" s="13">
        <v>40927</v>
      </c>
    </row>
    <row r="11" ht="14.5" spans="1:5">
      <c r="A11" s="11">
        <v>39559229</v>
      </c>
      <c r="B11" s="11" t="s">
        <v>17</v>
      </c>
      <c r="C11" s="23">
        <v>1454</v>
      </c>
      <c r="D11" s="13">
        <v>40921</v>
      </c>
      <c r="E11" s="13">
        <v>40931</v>
      </c>
    </row>
    <row r="12" ht="14.5" spans="1:5">
      <c r="A12" s="11">
        <v>39560050</v>
      </c>
      <c r="B12" s="11" t="s">
        <v>23</v>
      </c>
      <c r="C12" s="23">
        <v>10232</v>
      </c>
      <c r="D12" s="13">
        <v>40918</v>
      </c>
      <c r="E12" s="13">
        <v>40923</v>
      </c>
    </row>
    <row r="13" ht="14.5" spans="1:5">
      <c r="A13" s="11">
        <v>39560584</v>
      </c>
      <c r="B13" s="11" t="s">
        <v>17</v>
      </c>
      <c r="C13" s="23">
        <v>1050</v>
      </c>
      <c r="D13" s="13">
        <v>40922</v>
      </c>
      <c r="E13" s="13">
        <v>40935</v>
      </c>
    </row>
    <row r="14" ht="14.5" spans="1:5">
      <c r="A14" s="11">
        <v>39560730</v>
      </c>
      <c r="B14" s="11" t="s">
        <v>16</v>
      </c>
      <c r="C14" s="23">
        <v>679</v>
      </c>
      <c r="D14" s="13">
        <v>40919</v>
      </c>
      <c r="E14" s="13">
        <v>40926</v>
      </c>
    </row>
    <row r="15" ht="14.5" spans="1:5">
      <c r="A15" s="11">
        <v>39560930</v>
      </c>
      <c r="B15" s="11" t="s">
        <v>23</v>
      </c>
      <c r="C15" s="23">
        <v>40821</v>
      </c>
      <c r="D15" s="13">
        <v>40923</v>
      </c>
      <c r="E15" s="13">
        <v>40928</v>
      </c>
    </row>
    <row r="16" ht="14.5" spans="1:5">
      <c r="A16" s="11">
        <v>39562366</v>
      </c>
      <c r="B16" s="11" t="s">
        <v>18</v>
      </c>
      <c r="C16" s="23">
        <v>1484</v>
      </c>
      <c r="D16" s="13">
        <v>40922</v>
      </c>
      <c r="E16" s="13">
        <v>40929</v>
      </c>
    </row>
    <row r="17" ht="14.5" spans="1:5">
      <c r="A17" s="11">
        <v>39562367</v>
      </c>
      <c r="B17" s="11" t="s">
        <v>18</v>
      </c>
      <c r="C17" s="23">
        <v>10234</v>
      </c>
      <c r="D17" s="13">
        <v>40923</v>
      </c>
      <c r="E17" s="13">
        <v>40930</v>
      </c>
    </row>
    <row r="18" ht="14.5" spans="1:5">
      <c r="A18" s="11">
        <v>39562961</v>
      </c>
      <c r="B18" s="11" t="s">
        <v>15</v>
      </c>
      <c r="C18" s="23">
        <v>9401</v>
      </c>
      <c r="D18" s="13">
        <v>40921</v>
      </c>
      <c r="E18" s="13">
        <v>40937</v>
      </c>
    </row>
    <row r="19" ht="14.5" spans="1:5">
      <c r="A19" s="11">
        <v>39563480</v>
      </c>
      <c r="B19" s="11" t="s">
        <v>18</v>
      </c>
      <c r="C19" s="23">
        <v>373</v>
      </c>
      <c r="D19" s="13">
        <v>40919</v>
      </c>
      <c r="E19" s="13">
        <v>40926</v>
      </c>
    </row>
    <row r="20" ht="14.5" spans="1:5">
      <c r="A20" s="11">
        <v>39563481</v>
      </c>
      <c r="B20" s="11" t="s">
        <v>18</v>
      </c>
      <c r="C20" s="23">
        <v>112</v>
      </c>
      <c r="D20" s="13">
        <v>40922</v>
      </c>
      <c r="E20" s="13">
        <v>40929</v>
      </c>
    </row>
    <row r="21" ht="14.5" spans="1:5">
      <c r="A21" s="11">
        <v>39563836</v>
      </c>
      <c r="B21" s="11" t="s">
        <v>16</v>
      </c>
      <c r="C21" s="23">
        <v>11382</v>
      </c>
      <c r="D21" s="13">
        <v>40919</v>
      </c>
      <c r="E21" s="13">
        <v>40926</v>
      </c>
    </row>
    <row r="22" ht="14.5" spans="1:5">
      <c r="A22" s="11">
        <v>39563837</v>
      </c>
      <c r="B22" s="11" t="s">
        <v>16</v>
      </c>
      <c r="C22" s="23">
        <v>11377</v>
      </c>
      <c r="D22" s="13">
        <v>40922</v>
      </c>
      <c r="E22" s="13">
        <v>40929</v>
      </c>
    </row>
    <row r="23" ht="14.5" spans="1:5">
      <c r="A23" s="11">
        <v>39563896</v>
      </c>
      <c r="B23" s="11" t="s">
        <v>15</v>
      </c>
      <c r="C23" s="23">
        <v>193</v>
      </c>
      <c r="D23" s="13">
        <v>40921</v>
      </c>
      <c r="E23" s="13">
        <v>40937</v>
      </c>
    </row>
    <row r="24" ht="14.5" spans="1:5">
      <c r="A24" s="11">
        <v>39564506</v>
      </c>
      <c r="B24" s="11" t="s">
        <v>29</v>
      </c>
      <c r="C24" s="23">
        <v>45000</v>
      </c>
      <c r="D24" s="13">
        <v>40920</v>
      </c>
      <c r="E24" s="13">
        <v>40935</v>
      </c>
    </row>
    <row r="25" ht="14.5" spans="1:5">
      <c r="A25" s="11">
        <v>39564593</v>
      </c>
      <c r="B25" s="11" t="s">
        <v>18</v>
      </c>
      <c r="C25" s="23">
        <v>8820</v>
      </c>
      <c r="D25" s="13">
        <v>40923</v>
      </c>
      <c r="E25" s="13">
        <v>40930</v>
      </c>
    </row>
    <row r="26" ht="14.5" spans="1:5">
      <c r="A26" s="11">
        <v>39565028</v>
      </c>
      <c r="B26" s="11" t="s">
        <v>16</v>
      </c>
      <c r="C26" s="23">
        <v>452</v>
      </c>
      <c r="D26" s="13">
        <v>40922</v>
      </c>
      <c r="E26" s="13">
        <v>40929</v>
      </c>
    </row>
    <row r="27" ht="14.5" spans="1:5">
      <c r="A27" s="11">
        <v>39565146</v>
      </c>
      <c r="B27" s="11" t="s">
        <v>17</v>
      </c>
      <c r="C27" s="23">
        <v>10060</v>
      </c>
      <c r="D27" s="13">
        <v>40921</v>
      </c>
      <c r="E27" s="13">
        <v>40931</v>
      </c>
    </row>
    <row r="28" ht="14.5" spans="1:5">
      <c r="A28" s="11">
        <v>39565147</v>
      </c>
      <c r="B28" s="11" t="s">
        <v>17</v>
      </c>
      <c r="C28" s="23">
        <v>9259</v>
      </c>
      <c r="D28" s="13">
        <v>40923</v>
      </c>
      <c r="E28" s="13">
        <v>40936</v>
      </c>
    </row>
    <row r="29" ht="14.5" spans="1:5">
      <c r="A29" s="11">
        <v>39565560</v>
      </c>
      <c r="B29" s="11" t="s">
        <v>23</v>
      </c>
      <c r="C29" s="23">
        <v>60519</v>
      </c>
      <c r="D29" s="13">
        <v>40922</v>
      </c>
      <c r="E29" s="13">
        <v>40927</v>
      </c>
    </row>
    <row r="30" ht="14.5" spans="1:5">
      <c r="A30" s="11">
        <v>39567604</v>
      </c>
      <c r="B30" s="11" t="s">
        <v>22</v>
      </c>
      <c r="C30" s="23">
        <v>309997</v>
      </c>
      <c r="D30" s="13">
        <v>40920</v>
      </c>
      <c r="E30" s="13">
        <v>40925</v>
      </c>
    </row>
    <row r="31" ht="14.5" spans="1:5">
      <c r="A31" s="11">
        <v>39567605</v>
      </c>
      <c r="B31" s="11" t="s">
        <v>22</v>
      </c>
      <c r="C31" s="23">
        <v>245002</v>
      </c>
      <c r="D31" s="13">
        <v>40923</v>
      </c>
      <c r="E31" s="13">
        <v>40928</v>
      </c>
    </row>
    <row r="32" ht="14.5" spans="1:5">
      <c r="A32" s="11">
        <v>39561229</v>
      </c>
      <c r="B32" s="11" t="s">
        <v>22</v>
      </c>
      <c r="C32" s="23">
        <v>245001</v>
      </c>
      <c r="D32" s="13">
        <v>40922</v>
      </c>
      <c r="E32" s="13">
        <v>40927</v>
      </c>
    </row>
    <row r="33" ht="14.5" spans="1:5">
      <c r="A33" s="11">
        <v>39568457</v>
      </c>
      <c r="B33" s="11" t="s">
        <v>17</v>
      </c>
      <c r="C33" s="23">
        <v>253</v>
      </c>
      <c r="D33" s="13">
        <v>40922</v>
      </c>
      <c r="E33" s="13">
        <v>40935</v>
      </c>
    </row>
    <row r="34" ht="14.5" spans="1:5">
      <c r="A34" s="11">
        <v>39568458</v>
      </c>
      <c r="B34" s="11" t="s">
        <v>17</v>
      </c>
      <c r="C34" s="23">
        <v>4340</v>
      </c>
      <c r="D34" s="13">
        <v>40923</v>
      </c>
      <c r="E34" s="13">
        <v>40936</v>
      </c>
    </row>
    <row r="35" ht="14.5" spans="1:5">
      <c r="A35" s="11">
        <v>39568872</v>
      </c>
      <c r="B35" s="11" t="s">
        <v>25</v>
      </c>
      <c r="C35" s="23">
        <v>20957</v>
      </c>
      <c r="D35" s="13">
        <v>40923</v>
      </c>
      <c r="E35" s="13">
        <v>40929</v>
      </c>
    </row>
    <row r="36" ht="14.5" spans="1:5">
      <c r="A36" s="11">
        <v>39569477</v>
      </c>
      <c r="B36" s="11" t="s">
        <v>30</v>
      </c>
      <c r="C36" s="23">
        <v>50000</v>
      </c>
      <c r="D36" s="13">
        <v>40919</v>
      </c>
      <c r="E36" s="13">
        <v>40934</v>
      </c>
    </row>
    <row r="37" ht="14.5" spans="1:5">
      <c r="A37" s="11">
        <v>39595266</v>
      </c>
      <c r="B37" s="11" t="s">
        <v>24</v>
      </c>
      <c r="C37" s="23">
        <v>30030</v>
      </c>
      <c r="D37" s="13">
        <v>40920</v>
      </c>
      <c r="E37" s="13">
        <v>40925</v>
      </c>
    </row>
    <row r="38" ht="14.5" spans="1:5">
      <c r="A38" s="11">
        <v>39595805</v>
      </c>
      <c r="B38" s="11" t="s">
        <v>18</v>
      </c>
      <c r="C38" s="23">
        <v>12264</v>
      </c>
      <c r="D38" s="13">
        <v>40917</v>
      </c>
      <c r="E38" s="13">
        <v>40924</v>
      </c>
    </row>
    <row r="39" ht="14.5" spans="1:5">
      <c r="A39" s="11">
        <v>39761060</v>
      </c>
      <c r="B39" s="11" t="s">
        <v>18</v>
      </c>
      <c r="C39" s="23">
        <v>6249</v>
      </c>
      <c r="D39" s="13">
        <v>40917</v>
      </c>
      <c r="E39" s="13">
        <v>40924</v>
      </c>
    </row>
    <row r="40" ht="14.5" spans="1:5">
      <c r="A40" s="11">
        <v>39761062</v>
      </c>
      <c r="B40" s="11" t="s">
        <v>23</v>
      </c>
      <c r="C40" s="23">
        <v>7761</v>
      </c>
      <c r="D40" s="13">
        <v>40917</v>
      </c>
      <c r="E40" s="13">
        <v>40922</v>
      </c>
    </row>
    <row r="41" ht="14.5" spans="1:5">
      <c r="A41" s="11">
        <v>39762318</v>
      </c>
      <c r="B41" s="11" t="s">
        <v>24</v>
      </c>
      <c r="C41" s="23">
        <v>110110</v>
      </c>
      <c r="D41" s="13">
        <v>40919</v>
      </c>
      <c r="E41" s="13">
        <v>40924</v>
      </c>
    </row>
    <row r="42" ht="14.5" spans="1:5">
      <c r="A42" s="11">
        <v>39762319</v>
      </c>
      <c r="B42" s="11" t="s">
        <v>20</v>
      </c>
      <c r="C42" s="23">
        <v>100010</v>
      </c>
      <c r="D42" s="13">
        <v>40920</v>
      </c>
      <c r="E42" s="13">
        <v>40927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tabSelected="1" zoomScale="85" zoomScaleNormal="85" workbookViewId="0">
      <selection activeCell="B2" sqref="B$1:B$1048576"/>
    </sheetView>
  </sheetViews>
  <sheetFormatPr defaultColWidth="8.72727272727273" defaultRowHeight="14"/>
  <cols>
    <col min="1" max="1" width="14.2727272727273" customWidth="1"/>
    <col min="2" max="2" width="17.6363636363636" customWidth="1"/>
    <col min="3" max="3" width="18.0909090909091" customWidth="1"/>
    <col min="4" max="4" width="8.09090909090909" customWidth="1"/>
    <col min="5" max="5" width="11.4545454545455" customWidth="1"/>
    <col min="6" max="6" width="32.9090909090909" customWidth="1"/>
    <col min="7" max="7" width="35.8181818181818" customWidth="1"/>
    <col min="8" max="8" width="10" customWidth="1"/>
    <col min="9" max="9" width="9.72727272727273" customWidth="1"/>
    <col min="10" max="10" width="14.7272727272727" customWidth="1"/>
    <col min="11" max="11" width="16" customWidth="1"/>
    <col min="12" max="12" width="19.3636363636364" customWidth="1"/>
    <col min="13" max="13" width="8.63636363636364" customWidth="1"/>
    <col min="14" max="14" width="8.45454545454546" customWidth="1"/>
    <col min="15" max="15" width="8.63636363636364" customWidth="1"/>
    <col min="16" max="16" width="8.45454545454546" customWidth="1"/>
    <col min="17" max="17" width="29" customWidth="1"/>
    <col min="18" max="20" width="12.8181818181818" customWidth="1"/>
    <col min="21" max="21" width="4.54545454545455" customWidth="1"/>
    <col min="22" max="22" width="8.54545454545454" customWidth="1"/>
  </cols>
  <sheetData>
    <row r="1" ht="114.5" spans="1:22">
      <c r="A1" s="5" t="s">
        <v>36</v>
      </c>
      <c r="B1" s="6" t="s">
        <v>37</v>
      </c>
      <c r="C1" s="5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15" t="s">
        <v>48</v>
      </c>
      <c r="N1" s="15" t="s">
        <v>49</v>
      </c>
      <c r="O1" s="15" t="s">
        <v>50</v>
      </c>
      <c r="P1" s="15" t="s">
        <v>51</v>
      </c>
      <c r="Q1" s="5" t="s">
        <v>52</v>
      </c>
      <c r="R1" s="6"/>
      <c r="S1" s="6"/>
      <c r="T1" s="6"/>
      <c r="U1" s="6"/>
      <c r="V1" s="6"/>
    </row>
    <row r="2" ht="58" spans="1:22">
      <c r="A2" s="8" t="s">
        <v>53</v>
      </c>
      <c r="B2" s="8" t="s">
        <v>54</v>
      </c>
      <c r="C2" s="8" t="s">
        <v>55</v>
      </c>
      <c r="D2" s="8" t="s">
        <v>56</v>
      </c>
      <c r="E2" s="9" t="s">
        <v>57</v>
      </c>
      <c r="F2" s="8" t="s">
        <v>58</v>
      </c>
      <c r="G2" s="8" t="s">
        <v>59</v>
      </c>
      <c r="H2" s="10" t="s">
        <v>60</v>
      </c>
      <c r="I2" s="8" t="s">
        <v>61</v>
      </c>
      <c r="J2" s="8" t="s">
        <v>62</v>
      </c>
      <c r="K2" s="8" t="s">
        <v>63</v>
      </c>
      <c r="L2" s="8" t="s">
        <v>64</v>
      </c>
      <c r="M2" s="16" t="s">
        <v>65</v>
      </c>
      <c r="N2" s="15" t="s">
        <v>66</v>
      </c>
      <c r="O2" s="16" t="s">
        <v>65</v>
      </c>
      <c r="P2" s="15" t="s">
        <v>66</v>
      </c>
      <c r="Q2" s="18" t="s">
        <v>67</v>
      </c>
      <c r="R2" s="19" t="s">
        <v>68</v>
      </c>
      <c r="S2" s="18" t="s">
        <v>69</v>
      </c>
      <c r="T2" s="18" t="s">
        <v>70</v>
      </c>
      <c r="U2" s="20" t="s">
        <v>71</v>
      </c>
      <c r="V2" s="20" t="s">
        <v>72</v>
      </c>
    </row>
    <row r="3" ht="14.5" spans="1:22">
      <c r="A3" s="11">
        <v>39551295</v>
      </c>
      <c r="B3" s="11" t="s">
        <v>23</v>
      </c>
      <c r="C3" s="11" t="s">
        <v>73</v>
      </c>
      <c r="D3" s="11">
        <v>2</v>
      </c>
      <c r="E3" s="12">
        <v>29092</v>
      </c>
      <c r="F3" s="13">
        <v>40917</v>
      </c>
      <c r="G3" s="13">
        <v>40922</v>
      </c>
      <c r="H3" s="14">
        <v>360</v>
      </c>
      <c r="I3" s="11">
        <v>48</v>
      </c>
      <c r="J3" s="11">
        <v>20</v>
      </c>
      <c r="K3" s="17">
        <f t="shared" ref="K3:K43" si="0">H3*25/D3</f>
        <v>4500</v>
      </c>
      <c r="L3" s="11">
        <f t="shared" ref="L3:L43" si="1">J3*I3</f>
        <v>960</v>
      </c>
      <c r="M3" s="11">
        <v>4</v>
      </c>
      <c r="N3" s="11">
        <f t="shared" ref="N3:N43" si="2">M3*L3</f>
        <v>3840</v>
      </c>
      <c r="O3" s="11">
        <v>2</v>
      </c>
      <c r="P3" s="11">
        <f t="shared" ref="P3:P43" si="3">L3*O3</f>
        <v>1920</v>
      </c>
      <c r="Q3" s="11">
        <v>8866.99507389162</v>
      </c>
      <c r="R3" s="11">
        <v>4078.81773399015</v>
      </c>
      <c r="S3" s="11">
        <v>1819.13822048125</v>
      </c>
      <c r="T3" s="11">
        <v>646.153846153846</v>
      </c>
      <c r="U3" s="11">
        <v>160</v>
      </c>
      <c r="V3" s="11">
        <v>8121.6</v>
      </c>
    </row>
    <row r="4" ht="14.5" spans="1:22">
      <c r="A4" s="11">
        <v>39556108</v>
      </c>
      <c r="B4" s="11" t="s">
        <v>19</v>
      </c>
      <c r="C4" s="11" t="s">
        <v>74</v>
      </c>
      <c r="D4" s="11">
        <v>1</v>
      </c>
      <c r="E4" s="12">
        <v>24321</v>
      </c>
      <c r="F4" s="13">
        <v>40917</v>
      </c>
      <c r="G4" s="13">
        <v>40917</v>
      </c>
      <c r="H4" s="14">
        <v>700</v>
      </c>
      <c r="I4" s="11">
        <v>66</v>
      </c>
      <c r="J4" s="11">
        <v>20</v>
      </c>
      <c r="K4" s="17">
        <f t="shared" si="0"/>
        <v>17500</v>
      </c>
      <c r="L4" s="11">
        <f t="shared" si="1"/>
        <v>1320</v>
      </c>
      <c r="M4" s="11">
        <v>4</v>
      </c>
      <c r="N4" s="11">
        <f t="shared" si="2"/>
        <v>5280</v>
      </c>
      <c r="O4" s="11">
        <v>2</v>
      </c>
      <c r="P4" s="11">
        <f t="shared" si="3"/>
        <v>2640</v>
      </c>
      <c r="Q4" s="11">
        <v>29588.8399412628</v>
      </c>
      <c r="R4" s="11">
        <v>13610.8663729809</v>
      </c>
      <c r="S4" s="11">
        <v>3687.58169934641</v>
      </c>
      <c r="T4" s="11">
        <v>884.210526315789</v>
      </c>
      <c r="U4" s="11">
        <v>330</v>
      </c>
      <c r="V4" s="11">
        <v>11167.2</v>
      </c>
    </row>
    <row r="5" ht="14.5" spans="1:22">
      <c r="A5" s="11">
        <v>39557307</v>
      </c>
      <c r="B5" s="11" t="s">
        <v>19</v>
      </c>
      <c r="C5" s="11" t="s">
        <v>74</v>
      </c>
      <c r="D5" s="11">
        <v>1</v>
      </c>
      <c r="E5" s="12">
        <v>45315</v>
      </c>
      <c r="F5" s="13">
        <v>40917</v>
      </c>
      <c r="G5" s="13">
        <v>40917</v>
      </c>
      <c r="H5" s="14">
        <v>700</v>
      </c>
      <c r="I5" s="11">
        <v>66</v>
      </c>
      <c r="J5" s="11">
        <v>20</v>
      </c>
      <c r="K5" s="17">
        <f t="shared" si="0"/>
        <v>17500</v>
      </c>
      <c r="L5" s="11">
        <f t="shared" si="1"/>
        <v>1320</v>
      </c>
      <c r="M5" s="11">
        <v>4</v>
      </c>
      <c r="N5" s="11">
        <f t="shared" si="2"/>
        <v>5280</v>
      </c>
      <c r="O5" s="11">
        <v>2</v>
      </c>
      <c r="P5" s="11">
        <f t="shared" si="3"/>
        <v>2640</v>
      </c>
      <c r="Q5" s="11">
        <v>29588.8399412628</v>
      </c>
      <c r="R5" s="11">
        <v>13610.8663729809</v>
      </c>
      <c r="S5" s="11">
        <v>3687.58169934641</v>
      </c>
      <c r="T5" s="11">
        <v>884.210526315789</v>
      </c>
      <c r="U5" s="11">
        <v>330</v>
      </c>
      <c r="V5" s="11">
        <v>11167.2</v>
      </c>
    </row>
    <row r="6" ht="14.5" spans="1:22">
      <c r="A6" s="11">
        <v>39557829</v>
      </c>
      <c r="B6" s="11" t="s">
        <v>19</v>
      </c>
      <c r="C6" s="11" t="s">
        <v>74</v>
      </c>
      <c r="D6" s="11">
        <v>1</v>
      </c>
      <c r="E6" s="12">
        <v>118</v>
      </c>
      <c r="F6" s="13">
        <v>40917</v>
      </c>
      <c r="G6" s="13">
        <v>40917</v>
      </c>
      <c r="H6" s="14">
        <v>700</v>
      </c>
      <c r="I6" s="11">
        <v>66</v>
      </c>
      <c r="J6" s="11">
        <v>20</v>
      </c>
      <c r="K6" s="17">
        <f t="shared" si="0"/>
        <v>17500</v>
      </c>
      <c r="L6" s="11">
        <f t="shared" si="1"/>
        <v>1320</v>
      </c>
      <c r="M6" s="11">
        <v>4</v>
      </c>
      <c r="N6" s="11">
        <f t="shared" si="2"/>
        <v>5280</v>
      </c>
      <c r="O6" s="11">
        <v>2</v>
      </c>
      <c r="P6" s="11">
        <f t="shared" si="3"/>
        <v>2640</v>
      </c>
      <c r="Q6" s="11">
        <v>29588.8399412628</v>
      </c>
      <c r="R6" s="11">
        <v>13610.8663729809</v>
      </c>
      <c r="S6" s="11">
        <v>3687.58169934641</v>
      </c>
      <c r="T6" s="11">
        <v>884.210526315789</v>
      </c>
      <c r="U6" s="11">
        <v>330</v>
      </c>
      <c r="V6" s="11">
        <v>11167.2</v>
      </c>
    </row>
    <row r="7" ht="14.5" spans="1:22">
      <c r="A7" s="11">
        <v>39558090</v>
      </c>
      <c r="B7" s="11" t="s">
        <v>28</v>
      </c>
      <c r="C7" s="11" t="s">
        <v>75</v>
      </c>
      <c r="D7" s="11">
        <v>4</v>
      </c>
      <c r="E7" s="12">
        <v>2400</v>
      </c>
      <c r="F7" s="13">
        <v>40919</v>
      </c>
      <c r="G7" s="13">
        <v>40932</v>
      </c>
      <c r="H7" s="14">
        <v>360</v>
      </c>
      <c r="I7" s="11">
        <v>48</v>
      </c>
      <c r="J7" s="11">
        <v>10</v>
      </c>
      <c r="K7" s="17">
        <f t="shared" si="0"/>
        <v>2250</v>
      </c>
      <c r="L7" s="11">
        <f t="shared" si="1"/>
        <v>480</v>
      </c>
      <c r="M7" s="11">
        <v>2</v>
      </c>
      <c r="N7" s="11">
        <f t="shared" si="2"/>
        <v>960</v>
      </c>
      <c r="O7" s="11">
        <v>2</v>
      </c>
      <c r="P7" s="11">
        <f t="shared" si="3"/>
        <v>960</v>
      </c>
      <c r="Q7" s="11">
        <v>3330</v>
      </c>
      <c r="R7" s="11">
        <v>1305</v>
      </c>
      <c r="S7" s="11">
        <v>720</v>
      </c>
      <c r="T7" s="11">
        <v>400</v>
      </c>
      <c r="U7" s="11">
        <v>160</v>
      </c>
      <c r="V7" s="11">
        <v>8121.6</v>
      </c>
    </row>
    <row r="8" ht="14.5" spans="1:22">
      <c r="A8" s="11">
        <v>39762322</v>
      </c>
      <c r="B8" s="11" t="s">
        <v>27</v>
      </c>
      <c r="C8" s="11" t="s">
        <v>76</v>
      </c>
      <c r="D8" s="11">
        <v>1</v>
      </c>
      <c r="E8" s="12">
        <v>30000</v>
      </c>
      <c r="F8" s="13">
        <v>40920</v>
      </c>
      <c r="G8" s="13">
        <v>40928</v>
      </c>
      <c r="H8" s="14">
        <v>860</v>
      </c>
      <c r="I8" s="11">
        <v>80</v>
      </c>
      <c r="J8" s="11">
        <v>20</v>
      </c>
      <c r="K8" s="17">
        <f t="shared" si="0"/>
        <v>21500</v>
      </c>
      <c r="L8" s="11">
        <f t="shared" si="1"/>
        <v>1600</v>
      </c>
      <c r="M8" s="11">
        <v>4</v>
      </c>
      <c r="N8" s="11">
        <f t="shared" si="2"/>
        <v>6400</v>
      </c>
      <c r="O8" s="11">
        <v>2</v>
      </c>
      <c r="P8" s="11">
        <f t="shared" si="3"/>
        <v>3200</v>
      </c>
      <c r="Q8" s="11">
        <v>39252.3364485981</v>
      </c>
      <c r="R8" s="11">
        <v>18056.0747663551</v>
      </c>
      <c r="S8" s="11">
        <v>4200</v>
      </c>
      <c r="T8" s="11">
        <v>944.186046511628</v>
      </c>
      <c r="U8" s="11">
        <v>315</v>
      </c>
      <c r="V8" s="11">
        <v>13536</v>
      </c>
    </row>
    <row r="9" ht="14.5" spans="1:22">
      <c r="A9" s="11">
        <v>39597248</v>
      </c>
      <c r="B9" s="11" t="s">
        <v>26</v>
      </c>
      <c r="C9" s="11" t="s">
        <v>76</v>
      </c>
      <c r="D9" s="11">
        <v>1</v>
      </c>
      <c r="E9" s="12">
        <v>269556</v>
      </c>
      <c r="F9" s="13">
        <v>40920</v>
      </c>
      <c r="G9" s="13">
        <v>40928</v>
      </c>
      <c r="H9" s="14">
        <v>590</v>
      </c>
      <c r="I9" s="11">
        <v>80</v>
      </c>
      <c r="J9" s="11">
        <v>20</v>
      </c>
      <c r="K9" s="17">
        <f t="shared" si="0"/>
        <v>14750</v>
      </c>
      <c r="L9" s="11">
        <f t="shared" si="1"/>
        <v>1600</v>
      </c>
      <c r="M9" s="11">
        <v>4</v>
      </c>
      <c r="N9" s="11">
        <f t="shared" si="2"/>
        <v>6400</v>
      </c>
      <c r="O9" s="11">
        <v>2</v>
      </c>
      <c r="P9" s="11">
        <f t="shared" si="3"/>
        <v>3200</v>
      </c>
      <c r="Q9" s="11">
        <v>28571.4285714286</v>
      </c>
      <c r="R9" s="11">
        <v>13142.8571428571</v>
      </c>
      <c r="S9" s="11">
        <v>3911.45038167939</v>
      </c>
      <c r="T9" s="11">
        <v>944.186046511628</v>
      </c>
      <c r="U9" s="11">
        <v>270</v>
      </c>
      <c r="V9" s="11">
        <v>13536</v>
      </c>
    </row>
    <row r="10" ht="14.5" spans="1:22">
      <c r="A10" s="11">
        <v>39549836</v>
      </c>
      <c r="B10" s="11" t="s">
        <v>21</v>
      </c>
      <c r="C10" s="11" t="s">
        <v>77</v>
      </c>
      <c r="D10" s="11">
        <v>1</v>
      </c>
      <c r="E10" s="12">
        <v>44471</v>
      </c>
      <c r="F10" s="13">
        <v>40919</v>
      </c>
      <c r="G10" s="13">
        <v>40927</v>
      </c>
      <c r="H10" s="14">
        <v>290</v>
      </c>
      <c r="I10" s="11">
        <v>72</v>
      </c>
      <c r="J10" s="11">
        <v>20</v>
      </c>
      <c r="K10" s="17">
        <f t="shared" si="0"/>
        <v>7250</v>
      </c>
      <c r="L10" s="11">
        <f t="shared" si="1"/>
        <v>1440</v>
      </c>
      <c r="M10" s="11">
        <v>4</v>
      </c>
      <c r="N10" s="11">
        <f t="shared" si="2"/>
        <v>5760</v>
      </c>
      <c r="O10" s="11">
        <v>2</v>
      </c>
      <c r="P10" s="11">
        <f t="shared" si="3"/>
        <v>2880</v>
      </c>
      <c r="Q10" s="11">
        <v>12518.5185185185</v>
      </c>
      <c r="R10" s="11">
        <v>5796.12299465241</v>
      </c>
      <c r="S10" s="11">
        <v>2450.73068893528</v>
      </c>
      <c r="T10" s="11">
        <v>897.619047619048</v>
      </c>
      <c r="U10" s="11">
        <v>300</v>
      </c>
      <c r="V10" s="11">
        <v>12182.4</v>
      </c>
    </row>
    <row r="11" ht="14.5" spans="1:22">
      <c r="A11" s="11">
        <v>39561718</v>
      </c>
      <c r="B11" s="11" t="s">
        <v>21</v>
      </c>
      <c r="C11" s="11" t="s">
        <v>77</v>
      </c>
      <c r="D11" s="11">
        <v>1</v>
      </c>
      <c r="E11" s="12">
        <v>26257</v>
      </c>
      <c r="F11" s="13">
        <v>40919</v>
      </c>
      <c r="G11" s="13">
        <v>40927</v>
      </c>
      <c r="H11" s="14">
        <v>290</v>
      </c>
      <c r="I11" s="11">
        <v>72</v>
      </c>
      <c r="J11" s="11">
        <v>20</v>
      </c>
      <c r="K11" s="17">
        <f t="shared" si="0"/>
        <v>7250</v>
      </c>
      <c r="L11" s="11">
        <f t="shared" si="1"/>
        <v>1440</v>
      </c>
      <c r="M11" s="11">
        <v>4</v>
      </c>
      <c r="N11" s="11">
        <f t="shared" si="2"/>
        <v>5760</v>
      </c>
      <c r="O11" s="11">
        <v>2</v>
      </c>
      <c r="P11" s="11">
        <f t="shared" si="3"/>
        <v>2880</v>
      </c>
      <c r="Q11" s="11">
        <v>12518.5185185185</v>
      </c>
      <c r="R11" s="11">
        <v>5796.12299465241</v>
      </c>
      <c r="S11" s="11">
        <v>2450.73068893528</v>
      </c>
      <c r="T11" s="11">
        <v>897.619047619048</v>
      </c>
      <c r="U11" s="11">
        <v>300</v>
      </c>
      <c r="V11" s="11">
        <v>12182.4</v>
      </c>
    </row>
    <row r="12" ht="14.5" spans="1:22">
      <c r="A12" s="11">
        <v>39559229</v>
      </c>
      <c r="B12" s="11" t="s">
        <v>17</v>
      </c>
      <c r="C12" s="11" t="s">
        <v>78</v>
      </c>
      <c r="D12" s="11">
        <v>4</v>
      </c>
      <c r="E12" s="12">
        <v>1454</v>
      </c>
      <c r="F12" s="13">
        <v>40921</v>
      </c>
      <c r="G12" s="13">
        <v>40931</v>
      </c>
      <c r="H12" s="14">
        <v>290</v>
      </c>
      <c r="I12" s="11">
        <v>48</v>
      </c>
      <c r="J12" s="11">
        <v>10</v>
      </c>
      <c r="K12" s="17">
        <f t="shared" si="0"/>
        <v>1812.5</v>
      </c>
      <c r="L12" s="11">
        <f t="shared" si="1"/>
        <v>480</v>
      </c>
      <c r="M12" s="11">
        <v>2</v>
      </c>
      <c r="N12" s="11">
        <f t="shared" si="2"/>
        <v>960</v>
      </c>
      <c r="O12" s="11">
        <v>2</v>
      </c>
      <c r="P12" s="11">
        <f t="shared" si="3"/>
        <v>960</v>
      </c>
      <c r="Q12" s="11">
        <v>3235.97743113176</v>
      </c>
      <c r="R12" s="11">
        <v>1488.54961832061</v>
      </c>
      <c r="S12" s="11">
        <v>776.491599417912</v>
      </c>
      <c r="T12" s="11">
        <v>420</v>
      </c>
      <c r="U12" s="11">
        <v>110</v>
      </c>
      <c r="V12" s="11">
        <v>8121.6</v>
      </c>
    </row>
    <row r="13" ht="14.5" spans="1:22">
      <c r="A13" s="11">
        <v>39560050</v>
      </c>
      <c r="B13" s="11" t="s">
        <v>23</v>
      </c>
      <c r="C13" s="11" t="s">
        <v>73</v>
      </c>
      <c r="D13" s="11">
        <v>2</v>
      </c>
      <c r="E13" s="12">
        <v>10232</v>
      </c>
      <c r="F13" s="13">
        <v>40918</v>
      </c>
      <c r="G13" s="13">
        <v>40923</v>
      </c>
      <c r="H13" s="14">
        <v>360</v>
      </c>
      <c r="I13" s="11">
        <v>48</v>
      </c>
      <c r="J13" s="11">
        <v>20</v>
      </c>
      <c r="K13" s="17">
        <f t="shared" si="0"/>
        <v>4500</v>
      </c>
      <c r="L13" s="11">
        <f t="shared" si="1"/>
        <v>960</v>
      </c>
      <c r="M13" s="11">
        <v>4</v>
      </c>
      <c r="N13" s="11">
        <f t="shared" si="2"/>
        <v>3840</v>
      </c>
      <c r="O13" s="11">
        <v>2</v>
      </c>
      <c r="P13" s="11">
        <f t="shared" si="3"/>
        <v>1920</v>
      </c>
      <c r="Q13" s="11">
        <v>8866.99507389162</v>
      </c>
      <c r="R13" s="11">
        <v>4078.81773399015</v>
      </c>
      <c r="S13" s="11">
        <v>1819.13822048125</v>
      </c>
      <c r="T13" s="11">
        <v>646.153846153846</v>
      </c>
      <c r="U13" s="11">
        <v>160</v>
      </c>
      <c r="V13" s="11">
        <v>8121.6</v>
      </c>
    </row>
    <row r="14" ht="14.5" spans="1:22">
      <c r="A14" s="11">
        <v>39560584</v>
      </c>
      <c r="B14" s="11" t="s">
        <v>17</v>
      </c>
      <c r="C14" s="11" t="s">
        <v>78</v>
      </c>
      <c r="D14" s="11">
        <v>4</v>
      </c>
      <c r="E14" s="12">
        <v>1050</v>
      </c>
      <c r="F14" s="13">
        <v>40922</v>
      </c>
      <c r="G14" s="13">
        <v>40935</v>
      </c>
      <c r="H14" s="14">
        <v>290</v>
      </c>
      <c r="I14" s="11">
        <v>48</v>
      </c>
      <c r="J14" s="11">
        <v>10</v>
      </c>
      <c r="K14" s="17">
        <f t="shared" si="0"/>
        <v>1812.5</v>
      </c>
      <c r="L14" s="11">
        <f t="shared" si="1"/>
        <v>480</v>
      </c>
      <c r="M14" s="11">
        <v>2</v>
      </c>
      <c r="N14" s="11">
        <f t="shared" si="2"/>
        <v>960</v>
      </c>
      <c r="O14" s="11">
        <v>2</v>
      </c>
      <c r="P14" s="11">
        <f t="shared" si="3"/>
        <v>960</v>
      </c>
      <c r="Q14" s="11">
        <v>3235.97743113176</v>
      </c>
      <c r="R14" s="11">
        <v>1488.54961832061</v>
      </c>
      <c r="S14" s="11">
        <v>776.491599417912</v>
      </c>
      <c r="T14" s="11">
        <v>420</v>
      </c>
      <c r="U14" s="11">
        <v>110</v>
      </c>
      <c r="V14" s="11">
        <v>8121.6</v>
      </c>
    </row>
    <row r="15" ht="14.5" spans="1:22">
      <c r="A15" s="11">
        <v>39560730</v>
      </c>
      <c r="B15" s="11" t="s">
        <v>16</v>
      </c>
      <c r="C15" s="11" t="s">
        <v>73</v>
      </c>
      <c r="D15" s="11">
        <v>2</v>
      </c>
      <c r="E15" s="12">
        <v>679</v>
      </c>
      <c r="F15" s="13">
        <v>40919</v>
      </c>
      <c r="G15" s="13">
        <v>40926</v>
      </c>
      <c r="H15" s="14">
        <v>270</v>
      </c>
      <c r="I15" s="11">
        <v>48</v>
      </c>
      <c r="J15" s="11">
        <v>20</v>
      </c>
      <c r="K15" s="17">
        <f t="shared" si="0"/>
        <v>3375</v>
      </c>
      <c r="L15" s="11">
        <f t="shared" si="1"/>
        <v>960</v>
      </c>
      <c r="M15" s="11">
        <v>4</v>
      </c>
      <c r="N15" s="11">
        <f t="shared" si="2"/>
        <v>3840</v>
      </c>
      <c r="O15" s="11">
        <v>2</v>
      </c>
      <c r="P15" s="11">
        <f t="shared" si="3"/>
        <v>1920</v>
      </c>
      <c r="Q15" s="11">
        <v>6680.62428625809</v>
      </c>
      <c r="R15" s="11">
        <v>3073.08717167872</v>
      </c>
      <c r="S15" s="11">
        <v>1461.75805930914</v>
      </c>
      <c r="T15" s="11">
        <v>646.153846153846</v>
      </c>
      <c r="U15" s="11">
        <v>180</v>
      </c>
      <c r="V15" s="11">
        <v>8121.6</v>
      </c>
    </row>
    <row r="16" ht="14.5" spans="1:22">
      <c r="A16" s="11">
        <v>39560930</v>
      </c>
      <c r="B16" s="11" t="s">
        <v>23</v>
      </c>
      <c r="C16" s="11" t="s">
        <v>73</v>
      </c>
      <c r="D16" s="11">
        <v>2</v>
      </c>
      <c r="E16" s="12">
        <v>40821</v>
      </c>
      <c r="F16" s="13">
        <v>40923</v>
      </c>
      <c r="G16" s="13">
        <v>40928</v>
      </c>
      <c r="H16" s="14">
        <v>360</v>
      </c>
      <c r="I16" s="11">
        <v>48</v>
      </c>
      <c r="J16" s="11">
        <v>20</v>
      </c>
      <c r="K16" s="17">
        <f t="shared" si="0"/>
        <v>4500</v>
      </c>
      <c r="L16" s="11">
        <f t="shared" si="1"/>
        <v>960</v>
      </c>
      <c r="M16" s="11">
        <v>4</v>
      </c>
      <c r="N16" s="11">
        <f t="shared" si="2"/>
        <v>3840</v>
      </c>
      <c r="O16" s="11">
        <v>2</v>
      </c>
      <c r="P16" s="11">
        <f t="shared" si="3"/>
        <v>1920</v>
      </c>
      <c r="Q16" s="11">
        <v>8866.99507389162</v>
      </c>
      <c r="R16" s="11">
        <v>4078.81773399015</v>
      </c>
      <c r="S16" s="11">
        <v>1819.13822048125</v>
      </c>
      <c r="T16" s="11">
        <v>646.153846153846</v>
      </c>
      <c r="U16" s="11">
        <v>160</v>
      </c>
      <c r="V16" s="11">
        <v>8121.6</v>
      </c>
    </row>
    <row r="17" ht="14.5" spans="1:22">
      <c r="A17" s="11">
        <v>39562366</v>
      </c>
      <c r="B17" s="11" t="s">
        <v>18</v>
      </c>
      <c r="C17" s="11" t="s">
        <v>73</v>
      </c>
      <c r="D17" s="11">
        <v>2</v>
      </c>
      <c r="E17" s="12">
        <v>1484</v>
      </c>
      <c r="F17" s="13">
        <v>40922</v>
      </c>
      <c r="G17" s="13">
        <v>40929</v>
      </c>
      <c r="H17" s="14">
        <v>290</v>
      </c>
      <c r="I17" s="11">
        <v>48</v>
      </c>
      <c r="J17" s="11">
        <v>20</v>
      </c>
      <c r="K17" s="17">
        <f t="shared" si="0"/>
        <v>3625</v>
      </c>
      <c r="L17" s="11">
        <f t="shared" si="1"/>
        <v>960</v>
      </c>
      <c r="M17" s="11">
        <v>4</v>
      </c>
      <c r="N17" s="11">
        <f t="shared" si="2"/>
        <v>3840</v>
      </c>
      <c r="O17" s="11">
        <v>2</v>
      </c>
      <c r="P17" s="11">
        <f t="shared" si="3"/>
        <v>1920</v>
      </c>
      <c r="Q17" s="11">
        <v>6444.15069398546</v>
      </c>
      <c r="R17" s="11">
        <v>2964.30931923331</v>
      </c>
      <c r="S17" s="11">
        <v>1446.0458240946</v>
      </c>
      <c r="T17" s="11">
        <v>646.153846153846</v>
      </c>
      <c r="U17" s="11">
        <v>190</v>
      </c>
      <c r="V17" s="11">
        <v>8121.6</v>
      </c>
    </row>
    <row r="18" ht="14.5" spans="1:22">
      <c r="A18" s="11">
        <v>39562367</v>
      </c>
      <c r="B18" s="11" t="s">
        <v>18</v>
      </c>
      <c r="C18" s="11" t="s">
        <v>73</v>
      </c>
      <c r="D18" s="11">
        <v>2</v>
      </c>
      <c r="E18" s="12">
        <v>10234</v>
      </c>
      <c r="F18" s="13">
        <v>40923</v>
      </c>
      <c r="G18" s="13">
        <v>40930</v>
      </c>
      <c r="H18" s="14">
        <v>290</v>
      </c>
      <c r="I18" s="11">
        <v>48</v>
      </c>
      <c r="J18" s="11">
        <v>20</v>
      </c>
      <c r="K18" s="17">
        <f t="shared" si="0"/>
        <v>3625</v>
      </c>
      <c r="L18" s="11">
        <f t="shared" si="1"/>
        <v>960</v>
      </c>
      <c r="M18" s="11">
        <v>4</v>
      </c>
      <c r="N18" s="11">
        <f t="shared" si="2"/>
        <v>3840</v>
      </c>
      <c r="O18" s="11">
        <v>2</v>
      </c>
      <c r="P18" s="11">
        <f t="shared" si="3"/>
        <v>1920</v>
      </c>
      <c r="Q18" s="11">
        <v>6444.15069398546</v>
      </c>
      <c r="R18" s="11">
        <v>2964.30931923331</v>
      </c>
      <c r="S18" s="11">
        <v>1446.0458240946</v>
      </c>
      <c r="T18" s="11">
        <v>646.153846153846</v>
      </c>
      <c r="U18" s="11">
        <v>190</v>
      </c>
      <c r="V18" s="11">
        <v>8121.6</v>
      </c>
    </row>
    <row r="19" ht="14.5" spans="1:22">
      <c r="A19" s="11">
        <v>39562961</v>
      </c>
      <c r="B19" s="11" t="s">
        <v>15</v>
      </c>
      <c r="C19" s="11" t="s">
        <v>79</v>
      </c>
      <c r="D19" s="11">
        <v>8</v>
      </c>
      <c r="E19" s="12">
        <v>9401</v>
      </c>
      <c r="F19" s="13">
        <v>40921</v>
      </c>
      <c r="G19" s="13">
        <v>40937</v>
      </c>
      <c r="H19" s="14">
        <v>270</v>
      </c>
      <c r="I19" s="11">
        <v>48</v>
      </c>
      <c r="J19" s="11">
        <v>10</v>
      </c>
      <c r="K19" s="17">
        <f t="shared" si="0"/>
        <v>843.75</v>
      </c>
      <c r="L19" s="11">
        <f t="shared" si="1"/>
        <v>480</v>
      </c>
      <c r="M19" s="11">
        <v>1</v>
      </c>
      <c r="N19" s="11">
        <f t="shared" si="2"/>
        <v>480</v>
      </c>
      <c r="O19" s="11">
        <v>1</v>
      </c>
      <c r="P19" s="11">
        <f t="shared" si="3"/>
        <v>480</v>
      </c>
      <c r="Q19" s="11">
        <v>876.316972087682</v>
      </c>
      <c r="R19" s="11">
        <v>488.575345953425</v>
      </c>
      <c r="S19" s="11">
        <v>198.091910776673</v>
      </c>
      <c r="T19" s="11">
        <v>75.6756756756757</v>
      </c>
      <c r="U19" s="11">
        <v>60</v>
      </c>
      <c r="V19" s="11">
        <v>8121.6</v>
      </c>
    </row>
    <row r="20" ht="14.5" spans="1:22">
      <c r="A20" s="11">
        <v>39563480</v>
      </c>
      <c r="B20" s="11" t="s">
        <v>18</v>
      </c>
      <c r="C20" s="11" t="s">
        <v>73</v>
      </c>
      <c r="D20" s="11">
        <v>2</v>
      </c>
      <c r="E20" s="12">
        <v>373</v>
      </c>
      <c r="F20" s="13">
        <v>40919</v>
      </c>
      <c r="G20" s="13">
        <v>40926</v>
      </c>
      <c r="H20" s="14">
        <v>290</v>
      </c>
      <c r="I20" s="11">
        <v>48</v>
      </c>
      <c r="J20" s="11">
        <v>20</v>
      </c>
      <c r="K20" s="17">
        <f t="shared" si="0"/>
        <v>3625</v>
      </c>
      <c r="L20" s="11">
        <f t="shared" si="1"/>
        <v>960</v>
      </c>
      <c r="M20" s="11">
        <v>4</v>
      </c>
      <c r="N20" s="11">
        <f t="shared" si="2"/>
        <v>3840</v>
      </c>
      <c r="O20" s="11">
        <v>2</v>
      </c>
      <c r="P20" s="11">
        <f t="shared" si="3"/>
        <v>1920</v>
      </c>
      <c r="Q20" s="11">
        <v>6444.15069398546</v>
      </c>
      <c r="R20" s="11">
        <v>2964.30931923331</v>
      </c>
      <c r="S20" s="11">
        <v>1446.0458240946</v>
      </c>
      <c r="T20" s="11">
        <v>646.153846153846</v>
      </c>
      <c r="U20" s="11">
        <v>190</v>
      </c>
      <c r="V20" s="11">
        <v>8121.6</v>
      </c>
    </row>
    <row r="21" ht="14.5" spans="1:22">
      <c r="A21" s="11">
        <v>39563481</v>
      </c>
      <c r="B21" s="11" t="s">
        <v>18</v>
      </c>
      <c r="C21" s="11" t="s">
        <v>73</v>
      </c>
      <c r="D21" s="11">
        <v>2</v>
      </c>
      <c r="E21" s="12">
        <v>112</v>
      </c>
      <c r="F21" s="13">
        <v>40922</v>
      </c>
      <c r="G21" s="13">
        <v>40929</v>
      </c>
      <c r="H21" s="14">
        <v>290</v>
      </c>
      <c r="I21" s="11">
        <v>48</v>
      </c>
      <c r="J21" s="11">
        <v>20</v>
      </c>
      <c r="K21" s="17">
        <f t="shared" si="0"/>
        <v>3625</v>
      </c>
      <c r="L21" s="11">
        <f t="shared" si="1"/>
        <v>960</v>
      </c>
      <c r="M21" s="11">
        <v>4</v>
      </c>
      <c r="N21" s="11">
        <f t="shared" si="2"/>
        <v>3840</v>
      </c>
      <c r="O21" s="11">
        <v>2</v>
      </c>
      <c r="P21" s="11">
        <f t="shared" si="3"/>
        <v>1920</v>
      </c>
      <c r="Q21" s="11">
        <v>6444.15069398546</v>
      </c>
      <c r="R21" s="11">
        <v>2964.30931923331</v>
      </c>
      <c r="S21" s="11">
        <v>1446.0458240946</v>
      </c>
      <c r="T21" s="11">
        <v>646.153846153846</v>
      </c>
      <c r="U21" s="11">
        <v>190</v>
      </c>
      <c r="V21" s="11">
        <v>8121.6</v>
      </c>
    </row>
    <row r="22" ht="14.5" spans="1:22">
      <c r="A22" s="11">
        <v>39563836</v>
      </c>
      <c r="B22" s="11" t="s">
        <v>16</v>
      </c>
      <c r="C22" s="11" t="s">
        <v>73</v>
      </c>
      <c r="D22" s="11">
        <v>2</v>
      </c>
      <c r="E22" s="12">
        <v>11382</v>
      </c>
      <c r="F22" s="13">
        <v>40919</v>
      </c>
      <c r="G22" s="13">
        <v>40926</v>
      </c>
      <c r="H22" s="14">
        <v>270</v>
      </c>
      <c r="I22" s="11">
        <v>48</v>
      </c>
      <c r="J22" s="11">
        <v>20</v>
      </c>
      <c r="K22" s="17">
        <f t="shared" si="0"/>
        <v>3375</v>
      </c>
      <c r="L22" s="11">
        <f t="shared" si="1"/>
        <v>960</v>
      </c>
      <c r="M22" s="11">
        <v>4</v>
      </c>
      <c r="N22" s="11">
        <f t="shared" si="2"/>
        <v>3840</v>
      </c>
      <c r="O22" s="11">
        <v>2</v>
      </c>
      <c r="P22" s="11">
        <f t="shared" si="3"/>
        <v>1920</v>
      </c>
      <c r="Q22" s="11">
        <v>6680.62428625809</v>
      </c>
      <c r="R22" s="11">
        <v>3073.08717167872</v>
      </c>
      <c r="S22" s="11">
        <v>1461.75805930914</v>
      </c>
      <c r="T22" s="11">
        <v>646.153846153846</v>
      </c>
      <c r="U22" s="11">
        <v>180</v>
      </c>
      <c r="V22" s="11">
        <v>8121.6</v>
      </c>
    </row>
    <row r="23" ht="14.5" spans="1:22">
      <c r="A23" s="11">
        <v>39563837</v>
      </c>
      <c r="B23" s="11" t="s">
        <v>16</v>
      </c>
      <c r="C23" s="11" t="s">
        <v>73</v>
      </c>
      <c r="D23" s="11">
        <v>2</v>
      </c>
      <c r="E23" s="12">
        <v>11377</v>
      </c>
      <c r="F23" s="13">
        <v>40922</v>
      </c>
      <c r="G23" s="13">
        <v>40929</v>
      </c>
      <c r="H23" s="14">
        <v>270</v>
      </c>
      <c r="I23" s="11">
        <v>48</v>
      </c>
      <c r="J23" s="11">
        <v>20</v>
      </c>
      <c r="K23" s="17">
        <f t="shared" si="0"/>
        <v>3375</v>
      </c>
      <c r="L23" s="11">
        <f t="shared" si="1"/>
        <v>960</v>
      </c>
      <c r="M23" s="11">
        <v>4</v>
      </c>
      <c r="N23" s="11">
        <f t="shared" si="2"/>
        <v>3840</v>
      </c>
      <c r="O23" s="11">
        <v>2</v>
      </c>
      <c r="P23" s="11">
        <f t="shared" si="3"/>
        <v>1920</v>
      </c>
      <c r="Q23" s="11">
        <v>6680.62428625809</v>
      </c>
      <c r="R23" s="11">
        <v>3073.08717167872</v>
      </c>
      <c r="S23" s="11">
        <v>1461.75805930914</v>
      </c>
      <c r="T23" s="11">
        <v>646.153846153846</v>
      </c>
      <c r="U23" s="11">
        <v>180</v>
      </c>
      <c r="V23" s="11">
        <v>8121.6</v>
      </c>
    </row>
    <row r="24" ht="14.5" spans="1:22">
      <c r="A24" s="11">
        <v>39563896</v>
      </c>
      <c r="B24" s="11" t="s">
        <v>15</v>
      </c>
      <c r="C24" s="11" t="s">
        <v>79</v>
      </c>
      <c r="D24" s="11">
        <v>8</v>
      </c>
      <c r="E24" s="12">
        <v>193</v>
      </c>
      <c r="F24" s="13">
        <v>40921</v>
      </c>
      <c r="G24" s="13">
        <v>40937</v>
      </c>
      <c r="H24" s="14">
        <v>270</v>
      </c>
      <c r="I24" s="11">
        <v>48</v>
      </c>
      <c r="J24" s="11">
        <v>10</v>
      </c>
      <c r="K24" s="17">
        <f t="shared" si="0"/>
        <v>843.75</v>
      </c>
      <c r="L24" s="11">
        <f t="shared" si="1"/>
        <v>480</v>
      </c>
      <c r="M24" s="11">
        <v>1</v>
      </c>
      <c r="N24" s="11">
        <f t="shared" si="2"/>
        <v>480</v>
      </c>
      <c r="O24" s="11">
        <v>1</v>
      </c>
      <c r="P24" s="11">
        <f t="shared" si="3"/>
        <v>480</v>
      </c>
      <c r="Q24" s="11">
        <v>876.316972087682</v>
      </c>
      <c r="R24" s="11">
        <v>488.575345953425</v>
      </c>
      <c r="S24" s="11">
        <v>198.091910776673</v>
      </c>
      <c r="T24" s="11">
        <v>75.6756756756757</v>
      </c>
      <c r="U24" s="11">
        <v>60</v>
      </c>
      <c r="V24" s="11">
        <v>8121.6</v>
      </c>
    </row>
    <row r="25" ht="14.5" spans="1:22">
      <c r="A25" s="11">
        <v>39564506</v>
      </c>
      <c r="B25" s="11" t="s">
        <v>29</v>
      </c>
      <c r="C25" s="11" t="s">
        <v>80</v>
      </c>
      <c r="D25" s="11">
        <v>8</v>
      </c>
      <c r="E25" s="12">
        <v>45000</v>
      </c>
      <c r="F25" s="13">
        <v>40920</v>
      </c>
      <c r="G25" s="13">
        <v>40935</v>
      </c>
      <c r="H25" s="14">
        <v>270</v>
      </c>
      <c r="I25" s="11">
        <v>48</v>
      </c>
      <c r="J25" s="11">
        <v>10</v>
      </c>
      <c r="K25" s="17">
        <f t="shared" si="0"/>
        <v>843.75</v>
      </c>
      <c r="L25" s="11">
        <f t="shared" si="1"/>
        <v>480</v>
      </c>
      <c r="M25" s="11">
        <v>1</v>
      </c>
      <c r="N25" s="11">
        <f t="shared" si="2"/>
        <v>480</v>
      </c>
      <c r="O25" s="11">
        <v>1</v>
      </c>
      <c r="P25" s="11">
        <f t="shared" si="3"/>
        <v>480</v>
      </c>
      <c r="Q25" s="11">
        <v>877.5</v>
      </c>
      <c r="R25" s="11">
        <v>489.375</v>
      </c>
      <c r="S25" s="11">
        <v>202.5</v>
      </c>
      <c r="T25" s="11">
        <v>80</v>
      </c>
      <c r="U25" s="11">
        <v>35</v>
      </c>
      <c r="V25" s="11">
        <v>8121.6</v>
      </c>
    </row>
    <row r="26" ht="14.5" spans="1:22">
      <c r="A26" s="11">
        <v>39564593</v>
      </c>
      <c r="B26" s="11" t="s">
        <v>18</v>
      </c>
      <c r="C26" s="11" t="s">
        <v>73</v>
      </c>
      <c r="D26" s="11">
        <v>2</v>
      </c>
      <c r="E26" s="12">
        <v>8820</v>
      </c>
      <c r="F26" s="13">
        <v>40923</v>
      </c>
      <c r="G26" s="13">
        <v>40930</v>
      </c>
      <c r="H26" s="14">
        <v>290</v>
      </c>
      <c r="I26" s="11">
        <v>48</v>
      </c>
      <c r="J26" s="11">
        <v>20</v>
      </c>
      <c r="K26" s="17">
        <f t="shared" si="0"/>
        <v>3625</v>
      </c>
      <c r="L26" s="11">
        <f t="shared" si="1"/>
        <v>960</v>
      </c>
      <c r="M26" s="11">
        <v>4</v>
      </c>
      <c r="N26" s="11">
        <f t="shared" si="2"/>
        <v>3840</v>
      </c>
      <c r="O26" s="11">
        <v>2</v>
      </c>
      <c r="P26" s="11">
        <f t="shared" si="3"/>
        <v>1920</v>
      </c>
      <c r="Q26" s="11">
        <v>6444.15069398546</v>
      </c>
      <c r="R26" s="11">
        <v>2964.30931923331</v>
      </c>
      <c r="S26" s="11">
        <v>1446.0458240946</v>
      </c>
      <c r="T26" s="11">
        <v>646.153846153846</v>
      </c>
      <c r="U26" s="11">
        <v>190</v>
      </c>
      <c r="V26" s="11">
        <v>8121.6</v>
      </c>
    </row>
    <row r="27" ht="14.5" spans="1:22">
      <c r="A27" s="11">
        <v>39565028</v>
      </c>
      <c r="B27" s="11" t="s">
        <v>16</v>
      </c>
      <c r="C27" s="11" t="s">
        <v>73</v>
      </c>
      <c r="D27" s="11">
        <v>2</v>
      </c>
      <c r="E27" s="12">
        <v>452</v>
      </c>
      <c r="F27" s="13">
        <v>40922</v>
      </c>
      <c r="G27" s="13">
        <v>40929</v>
      </c>
      <c r="H27" s="14">
        <v>270</v>
      </c>
      <c r="I27" s="11">
        <v>48</v>
      </c>
      <c r="J27" s="11">
        <v>20</v>
      </c>
      <c r="K27" s="17">
        <f t="shared" si="0"/>
        <v>3375</v>
      </c>
      <c r="L27" s="11">
        <f t="shared" si="1"/>
        <v>960</v>
      </c>
      <c r="M27" s="11">
        <v>4</v>
      </c>
      <c r="N27" s="11">
        <f t="shared" si="2"/>
        <v>3840</v>
      </c>
      <c r="O27" s="11">
        <v>2</v>
      </c>
      <c r="P27" s="11">
        <f t="shared" si="3"/>
        <v>1920</v>
      </c>
      <c r="Q27" s="11">
        <v>6680.62428625809</v>
      </c>
      <c r="R27" s="11">
        <v>3073.08717167872</v>
      </c>
      <c r="S27" s="11">
        <v>1461.75805930914</v>
      </c>
      <c r="T27" s="11">
        <v>646.153846153846</v>
      </c>
      <c r="U27" s="11">
        <v>180</v>
      </c>
      <c r="V27" s="11">
        <v>8121.6</v>
      </c>
    </row>
    <row r="28" ht="14.5" spans="1:22">
      <c r="A28" s="11">
        <v>39565146</v>
      </c>
      <c r="B28" s="11" t="s">
        <v>17</v>
      </c>
      <c r="C28" s="11" t="s">
        <v>78</v>
      </c>
      <c r="D28" s="11">
        <v>4</v>
      </c>
      <c r="E28" s="12">
        <v>10060</v>
      </c>
      <c r="F28" s="13">
        <v>40921</v>
      </c>
      <c r="G28" s="13">
        <v>40931</v>
      </c>
      <c r="H28" s="14">
        <v>290</v>
      </c>
      <c r="I28" s="11">
        <v>48</v>
      </c>
      <c r="J28" s="11">
        <v>10</v>
      </c>
      <c r="K28" s="17">
        <f t="shared" si="0"/>
        <v>1812.5</v>
      </c>
      <c r="L28" s="11">
        <f t="shared" si="1"/>
        <v>480</v>
      </c>
      <c r="M28" s="11">
        <v>2</v>
      </c>
      <c r="N28" s="11">
        <f t="shared" si="2"/>
        <v>960</v>
      </c>
      <c r="O28" s="11">
        <v>2</v>
      </c>
      <c r="P28" s="11">
        <f t="shared" si="3"/>
        <v>960</v>
      </c>
      <c r="Q28" s="11">
        <v>3235.97743113176</v>
      </c>
      <c r="R28" s="11">
        <v>1488.54961832061</v>
      </c>
      <c r="S28" s="11">
        <v>776.491599417912</v>
      </c>
      <c r="T28" s="11">
        <v>420</v>
      </c>
      <c r="U28" s="11">
        <v>110</v>
      </c>
      <c r="V28" s="11">
        <v>8121.6</v>
      </c>
    </row>
    <row r="29" ht="14.5" spans="1:22">
      <c r="A29" s="11">
        <v>39565147</v>
      </c>
      <c r="B29" s="11" t="s">
        <v>17</v>
      </c>
      <c r="C29" s="11" t="s">
        <v>78</v>
      </c>
      <c r="D29" s="11">
        <v>4</v>
      </c>
      <c r="E29" s="12">
        <v>9259</v>
      </c>
      <c r="F29" s="13">
        <v>40923</v>
      </c>
      <c r="G29" s="13">
        <v>40936</v>
      </c>
      <c r="H29" s="14">
        <v>290</v>
      </c>
      <c r="I29" s="11">
        <v>48</v>
      </c>
      <c r="J29" s="11">
        <v>10</v>
      </c>
      <c r="K29" s="17">
        <f t="shared" si="0"/>
        <v>1812.5</v>
      </c>
      <c r="L29" s="11">
        <f t="shared" si="1"/>
        <v>480</v>
      </c>
      <c r="M29" s="11">
        <v>2</v>
      </c>
      <c r="N29" s="11">
        <f t="shared" si="2"/>
        <v>960</v>
      </c>
      <c r="O29" s="11">
        <v>2</v>
      </c>
      <c r="P29" s="11">
        <f t="shared" si="3"/>
        <v>960</v>
      </c>
      <c r="Q29" s="11">
        <v>3235.97743113176</v>
      </c>
      <c r="R29" s="11">
        <v>1488.54961832061</v>
      </c>
      <c r="S29" s="11">
        <v>776.491599417912</v>
      </c>
      <c r="T29" s="11">
        <v>420</v>
      </c>
      <c r="U29" s="11">
        <v>110</v>
      </c>
      <c r="V29" s="11">
        <v>8121.6</v>
      </c>
    </row>
    <row r="30" ht="14.5" spans="1:22">
      <c r="A30" s="11">
        <v>39565560</v>
      </c>
      <c r="B30" s="11" t="s">
        <v>23</v>
      </c>
      <c r="C30" s="11" t="s">
        <v>73</v>
      </c>
      <c r="D30" s="11">
        <v>2</v>
      </c>
      <c r="E30" s="12">
        <v>60519</v>
      </c>
      <c r="F30" s="13">
        <v>40922</v>
      </c>
      <c r="G30" s="13">
        <v>40927</v>
      </c>
      <c r="H30" s="14">
        <v>360</v>
      </c>
      <c r="I30" s="11">
        <v>48</v>
      </c>
      <c r="J30" s="11">
        <v>20</v>
      </c>
      <c r="K30" s="17">
        <f t="shared" si="0"/>
        <v>4500</v>
      </c>
      <c r="L30" s="11">
        <f t="shared" si="1"/>
        <v>960</v>
      </c>
      <c r="M30" s="11">
        <v>4</v>
      </c>
      <c r="N30" s="11">
        <f t="shared" si="2"/>
        <v>3840</v>
      </c>
      <c r="O30" s="11">
        <v>2</v>
      </c>
      <c r="P30" s="11">
        <f t="shared" si="3"/>
        <v>1920</v>
      </c>
      <c r="Q30" s="11">
        <v>8866.99507389162</v>
      </c>
      <c r="R30" s="11">
        <v>4078.81773399015</v>
      </c>
      <c r="S30" s="11">
        <v>1819.13822048125</v>
      </c>
      <c r="T30" s="11">
        <v>646.153846153846</v>
      </c>
      <c r="U30" s="11">
        <v>160</v>
      </c>
      <c r="V30" s="11">
        <v>8121.6</v>
      </c>
    </row>
    <row r="31" ht="14.5" spans="1:22">
      <c r="A31" s="11">
        <v>39567604</v>
      </c>
      <c r="B31" s="11" t="s">
        <v>22</v>
      </c>
      <c r="C31" s="11" t="s">
        <v>81</v>
      </c>
      <c r="D31" s="11">
        <v>1</v>
      </c>
      <c r="E31" s="12">
        <v>309997</v>
      </c>
      <c r="F31" s="13">
        <v>40920</v>
      </c>
      <c r="G31" s="13">
        <v>40925</v>
      </c>
      <c r="H31" s="14">
        <v>860</v>
      </c>
      <c r="I31" s="11">
        <v>88</v>
      </c>
      <c r="J31" s="11">
        <v>20</v>
      </c>
      <c r="K31" s="17">
        <f t="shared" si="0"/>
        <v>21500</v>
      </c>
      <c r="L31" s="11">
        <f t="shared" si="1"/>
        <v>1760</v>
      </c>
      <c r="M31" s="11">
        <v>4</v>
      </c>
      <c r="N31" s="11">
        <f t="shared" si="2"/>
        <v>7040</v>
      </c>
      <c r="O31" s="11">
        <v>2</v>
      </c>
      <c r="P31" s="11">
        <f t="shared" si="3"/>
        <v>3520</v>
      </c>
      <c r="Q31" s="11">
        <v>37193.4604904632</v>
      </c>
      <c r="R31" s="11">
        <v>17108.9918256131</v>
      </c>
      <c r="S31" s="11">
        <v>2951.35135135135</v>
      </c>
      <c r="T31" s="11">
        <v>563.888888888889</v>
      </c>
      <c r="U31" s="11">
        <v>320</v>
      </c>
      <c r="V31" s="11">
        <v>14889.6</v>
      </c>
    </row>
    <row r="32" ht="14.5" spans="1:22">
      <c r="A32" s="11">
        <v>39567605</v>
      </c>
      <c r="B32" s="11" t="s">
        <v>22</v>
      </c>
      <c r="C32" s="11" t="s">
        <v>81</v>
      </c>
      <c r="D32" s="11">
        <v>1</v>
      </c>
      <c r="E32" s="12">
        <v>245002</v>
      </c>
      <c r="F32" s="13">
        <v>40923</v>
      </c>
      <c r="G32" s="13">
        <v>40928</v>
      </c>
      <c r="H32" s="14">
        <v>860</v>
      </c>
      <c r="I32" s="11">
        <v>88</v>
      </c>
      <c r="J32" s="11">
        <v>20</v>
      </c>
      <c r="K32" s="17">
        <f t="shared" si="0"/>
        <v>21500</v>
      </c>
      <c r="L32" s="11">
        <f t="shared" si="1"/>
        <v>1760</v>
      </c>
      <c r="M32" s="11">
        <v>4</v>
      </c>
      <c r="N32" s="11">
        <f t="shared" si="2"/>
        <v>7040</v>
      </c>
      <c r="O32" s="11">
        <v>2</v>
      </c>
      <c r="P32" s="11">
        <f t="shared" si="3"/>
        <v>3520</v>
      </c>
      <c r="Q32" s="11">
        <v>37193.4604904632</v>
      </c>
      <c r="R32" s="11">
        <v>17108.9918256131</v>
      </c>
      <c r="S32" s="11">
        <v>2951.35135135135</v>
      </c>
      <c r="T32" s="11">
        <v>563.888888888889</v>
      </c>
      <c r="U32" s="11">
        <v>320</v>
      </c>
      <c r="V32" s="11">
        <v>14889.6</v>
      </c>
    </row>
    <row r="33" ht="14.5" spans="1:22">
      <c r="A33" s="11">
        <v>39561229</v>
      </c>
      <c r="B33" s="11" t="s">
        <v>22</v>
      </c>
      <c r="C33" s="11" t="s">
        <v>81</v>
      </c>
      <c r="D33" s="11">
        <v>1</v>
      </c>
      <c r="E33" s="12">
        <v>245001</v>
      </c>
      <c r="F33" s="13">
        <v>40922</v>
      </c>
      <c r="G33" s="13">
        <v>40927</v>
      </c>
      <c r="H33" s="14">
        <v>860</v>
      </c>
      <c r="I33" s="11">
        <v>88</v>
      </c>
      <c r="J33" s="11">
        <v>20</v>
      </c>
      <c r="K33" s="17">
        <f t="shared" si="0"/>
        <v>21500</v>
      </c>
      <c r="L33" s="11">
        <f t="shared" si="1"/>
        <v>1760</v>
      </c>
      <c r="M33" s="11">
        <v>4</v>
      </c>
      <c r="N33" s="11">
        <f t="shared" si="2"/>
        <v>7040</v>
      </c>
      <c r="O33" s="11">
        <v>2</v>
      </c>
      <c r="P33" s="11">
        <f t="shared" si="3"/>
        <v>3520</v>
      </c>
      <c r="Q33" s="11">
        <v>37193.4604904632</v>
      </c>
      <c r="R33" s="11">
        <v>17108.9918256131</v>
      </c>
      <c r="S33" s="11">
        <v>2951.35135135135</v>
      </c>
      <c r="T33" s="11">
        <v>563.888888888889</v>
      </c>
      <c r="U33" s="11">
        <v>320</v>
      </c>
      <c r="V33" s="11">
        <v>14889.6</v>
      </c>
    </row>
    <row r="34" ht="14.5" spans="1:22">
      <c r="A34" s="11">
        <v>39568457</v>
      </c>
      <c r="B34" s="11" t="s">
        <v>17</v>
      </c>
      <c r="C34" s="11" t="s">
        <v>78</v>
      </c>
      <c r="D34" s="11">
        <v>4</v>
      </c>
      <c r="E34" s="12">
        <v>253</v>
      </c>
      <c r="F34" s="13">
        <v>40922</v>
      </c>
      <c r="G34" s="13">
        <v>40935</v>
      </c>
      <c r="H34" s="14">
        <v>290</v>
      </c>
      <c r="I34" s="11">
        <v>48</v>
      </c>
      <c r="J34" s="11">
        <v>10</v>
      </c>
      <c r="K34" s="17">
        <f t="shared" si="0"/>
        <v>1812.5</v>
      </c>
      <c r="L34" s="11">
        <f t="shared" si="1"/>
        <v>480</v>
      </c>
      <c r="M34" s="11">
        <v>2</v>
      </c>
      <c r="N34" s="11">
        <f t="shared" si="2"/>
        <v>960</v>
      </c>
      <c r="O34" s="11">
        <v>2</v>
      </c>
      <c r="P34" s="11">
        <f t="shared" si="3"/>
        <v>960</v>
      </c>
      <c r="Q34" s="11">
        <v>3235.97743113176</v>
      </c>
      <c r="R34" s="11">
        <v>1488.54961832061</v>
      </c>
      <c r="S34" s="11">
        <v>776.491599417912</v>
      </c>
      <c r="T34" s="11">
        <v>420</v>
      </c>
      <c r="U34" s="11">
        <v>110</v>
      </c>
      <c r="V34" s="11">
        <v>8121.6</v>
      </c>
    </row>
    <row r="35" ht="14.5" spans="1:22">
      <c r="A35" s="11">
        <v>39568458</v>
      </c>
      <c r="B35" s="11" t="s">
        <v>17</v>
      </c>
      <c r="C35" s="11" t="s">
        <v>78</v>
      </c>
      <c r="D35" s="11">
        <v>4</v>
      </c>
      <c r="E35" s="12">
        <v>4340</v>
      </c>
      <c r="F35" s="13">
        <v>40923</v>
      </c>
      <c r="G35" s="13">
        <v>40936</v>
      </c>
      <c r="H35" s="14">
        <v>290</v>
      </c>
      <c r="I35" s="11">
        <v>48</v>
      </c>
      <c r="J35" s="11">
        <v>10</v>
      </c>
      <c r="K35" s="17">
        <f t="shared" si="0"/>
        <v>1812.5</v>
      </c>
      <c r="L35" s="11">
        <f t="shared" si="1"/>
        <v>480</v>
      </c>
      <c r="M35" s="11">
        <v>2</v>
      </c>
      <c r="N35" s="11">
        <f t="shared" si="2"/>
        <v>960</v>
      </c>
      <c r="O35" s="11">
        <v>2</v>
      </c>
      <c r="P35" s="11">
        <f t="shared" si="3"/>
        <v>960</v>
      </c>
      <c r="Q35" s="11">
        <v>3235.97743113176</v>
      </c>
      <c r="R35" s="11">
        <v>1488.54961832061</v>
      </c>
      <c r="S35" s="11">
        <v>776.491599417912</v>
      </c>
      <c r="T35" s="11">
        <v>420</v>
      </c>
      <c r="U35" s="11">
        <v>110</v>
      </c>
      <c r="V35" s="11">
        <v>8121.6</v>
      </c>
    </row>
    <row r="36" ht="14.5" spans="1:22">
      <c r="A36" s="11">
        <v>39568872</v>
      </c>
      <c r="B36" s="11" t="s">
        <v>25</v>
      </c>
      <c r="C36" s="11" t="s">
        <v>82</v>
      </c>
      <c r="D36" s="11">
        <v>1</v>
      </c>
      <c r="E36" s="12">
        <v>20957</v>
      </c>
      <c r="F36" s="13">
        <v>40923</v>
      </c>
      <c r="G36" s="13">
        <v>40929</v>
      </c>
      <c r="H36" s="14">
        <v>520</v>
      </c>
      <c r="I36" s="11">
        <v>80</v>
      </c>
      <c r="J36" s="11">
        <v>20</v>
      </c>
      <c r="K36" s="17">
        <f t="shared" si="0"/>
        <v>13000</v>
      </c>
      <c r="L36" s="11">
        <f t="shared" si="1"/>
        <v>1600</v>
      </c>
      <c r="M36" s="11">
        <v>4</v>
      </c>
      <c r="N36" s="11">
        <f t="shared" si="2"/>
        <v>6400</v>
      </c>
      <c r="O36" s="11">
        <v>2</v>
      </c>
      <c r="P36" s="11">
        <f t="shared" si="3"/>
        <v>3200</v>
      </c>
      <c r="Q36" s="11">
        <v>24813.9255702281</v>
      </c>
      <c r="R36" s="11">
        <v>11543.0580347425</v>
      </c>
      <c r="S36" s="11">
        <v>4140.76829901367</v>
      </c>
      <c r="T36" s="11">
        <v>897.619047619048</v>
      </c>
      <c r="U36" s="11">
        <v>230</v>
      </c>
      <c r="V36" s="11">
        <v>13536</v>
      </c>
    </row>
    <row r="37" ht="14.5" spans="1:22">
      <c r="A37" s="11">
        <v>39569477</v>
      </c>
      <c r="B37" s="11" t="s">
        <v>30</v>
      </c>
      <c r="C37" s="11" t="s">
        <v>75</v>
      </c>
      <c r="D37" s="11">
        <v>4</v>
      </c>
      <c r="E37" s="12">
        <v>50000</v>
      </c>
      <c r="F37" s="13">
        <v>40919</v>
      </c>
      <c r="G37" s="13">
        <v>40934</v>
      </c>
      <c r="H37" s="14">
        <v>270</v>
      </c>
      <c r="I37" s="11">
        <v>48</v>
      </c>
      <c r="J37" s="11">
        <v>10</v>
      </c>
      <c r="K37" s="17">
        <f t="shared" si="0"/>
        <v>1687.5</v>
      </c>
      <c r="L37" s="11">
        <f t="shared" si="1"/>
        <v>480</v>
      </c>
      <c r="M37" s="11">
        <v>2</v>
      </c>
      <c r="N37" s="11">
        <f t="shared" si="2"/>
        <v>960</v>
      </c>
      <c r="O37" s="11">
        <v>2</v>
      </c>
      <c r="P37" s="11">
        <f t="shared" si="3"/>
        <v>960</v>
      </c>
      <c r="Q37" s="11">
        <v>2497.5</v>
      </c>
      <c r="R37" s="11">
        <v>978.75</v>
      </c>
      <c r="S37" s="11">
        <v>540</v>
      </c>
      <c r="T37" s="11">
        <v>400</v>
      </c>
      <c r="U37" s="11">
        <v>80</v>
      </c>
      <c r="V37" s="11">
        <v>8121.6</v>
      </c>
    </row>
    <row r="38" ht="14.5" spans="1:22">
      <c r="A38" s="11">
        <v>39595266</v>
      </c>
      <c r="B38" s="11" t="s">
        <v>24</v>
      </c>
      <c r="C38" s="11" t="s">
        <v>83</v>
      </c>
      <c r="D38" s="11">
        <v>2</v>
      </c>
      <c r="E38" s="12">
        <v>30030</v>
      </c>
      <c r="F38" s="13">
        <v>40920</v>
      </c>
      <c r="G38" s="13">
        <v>40925</v>
      </c>
      <c r="H38" s="14">
        <v>600</v>
      </c>
      <c r="I38" s="11">
        <v>80</v>
      </c>
      <c r="J38" s="11">
        <v>20</v>
      </c>
      <c r="K38" s="17">
        <f t="shared" si="0"/>
        <v>7500</v>
      </c>
      <c r="L38" s="11">
        <f t="shared" si="1"/>
        <v>1600</v>
      </c>
      <c r="M38" s="11">
        <v>4</v>
      </c>
      <c r="N38" s="11">
        <f t="shared" si="2"/>
        <v>6400</v>
      </c>
      <c r="O38" s="11">
        <v>2</v>
      </c>
      <c r="P38" s="11">
        <f t="shared" si="3"/>
        <v>3200</v>
      </c>
      <c r="Q38" s="11">
        <v>10461.9368203004</v>
      </c>
      <c r="R38" s="11">
        <v>4171.23287671233</v>
      </c>
      <c r="S38" s="11">
        <v>2075.29411764706</v>
      </c>
      <c r="T38" s="11">
        <v>637.254901960784</v>
      </c>
      <c r="U38" s="11">
        <v>150</v>
      </c>
      <c r="V38" s="11">
        <v>13536</v>
      </c>
    </row>
    <row r="39" ht="14.5" spans="1:22">
      <c r="A39" s="11">
        <v>39595805</v>
      </c>
      <c r="B39" s="11" t="s">
        <v>18</v>
      </c>
      <c r="C39" s="11" t="s">
        <v>73</v>
      </c>
      <c r="D39" s="11">
        <v>2</v>
      </c>
      <c r="E39" s="12">
        <v>12264</v>
      </c>
      <c r="F39" s="13">
        <v>40917</v>
      </c>
      <c r="G39" s="13">
        <v>40924</v>
      </c>
      <c r="H39" s="14">
        <v>290</v>
      </c>
      <c r="I39" s="11">
        <v>48</v>
      </c>
      <c r="J39" s="11">
        <v>20</v>
      </c>
      <c r="K39" s="17">
        <f t="shared" si="0"/>
        <v>3625</v>
      </c>
      <c r="L39" s="11">
        <f t="shared" si="1"/>
        <v>960</v>
      </c>
      <c r="M39" s="11">
        <v>4</v>
      </c>
      <c r="N39" s="11">
        <f t="shared" si="2"/>
        <v>3840</v>
      </c>
      <c r="O39" s="11">
        <v>2</v>
      </c>
      <c r="P39" s="11">
        <f t="shared" si="3"/>
        <v>1920</v>
      </c>
      <c r="Q39" s="11">
        <v>6444.15069398546</v>
      </c>
      <c r="R39" s="11">
        <v>2964.30931923331</v>
      </c>
      <c r="S39" s="11">
        <v>1446.0458240946</v>
      </c>
      <c r="T39" s="11">
        <v>646.153846153846</v>
      </c>
      <c r="U39" s="11">
        <v>190</v>
      </c>
      <c r="V39" s="11">
        <v>8121.6</v>
      </c>
    </row>
    <row r="40" ht="14.5" spans="1:22">
      <c r="A40" s="11">
        <v>39761060</v>
      </c>
      <c r="B40" s="11" t="s">
        <v>18</v>
      </c>
      <c r="C40" s="11" t="s">
        <v>73</v>
      </c>
      <c r="D40" s="11">
        <v>2</v>
      </c>
      <c r="E40" s="12">
        <v>6249</v>
      </c>
      <c r="F40" s="13">
        <v>40917</v>
      </c>
      <c r="G40" s="13">
        <v>40924</v>
      </c>
      <c r="H40" s="14">
        <v>290</v>
      </c>
      <c r="I40" s="11">
        <v>48</v>
      </c>
      <c r="J40" s="11">
        <v>20</v>
      </c>
      <c r="K40" s="17">
        <f t="shared" si="0"/>
        <v>3625</v>
      </c>
      <c r="L40" s="11">
        <f t="shared" si="1"/>
        <v>960</v>
      </c>
      <c r="M40" s="11">
        <v>4</v>
      </c>
      <c r="N40" s="11">
        <f t="shared" si="2"/>
        <v>3840</v>
      </c>
      <c r="O40" s="11">
        <v>2</v>
      </c>
      <c r="P40" s="11">
        <f t="shared" si="3"/>
        <v>1920</v>
      </c>
      <c r="Q40" s="11">
        <v>6444.15069398546</v>
      </c>
      <c r="R40" s="11">
        <v>2964.30931923331</v>
      </c>
      <c r="S40" s="11">
        <v>1446.0458240946</v>
      </c>
      <c r="T40" s="11">
        <v>646.153846153846</v>
      </c>
      <c r="U40" s="11">
        <v>190</v>
      </c>
      <c r="V40" s="11">
        <v>8121.6</v>
      </c>
    </row>
    <row r="41" ht="14.5" spans="1:22">
      <c r="A41" s="11">
        <v>39761062</v>
      </c>
      <c r="B41" s="11" t="s">
        <v>23</v>
      </c>
      <c r="C41" s="11" t="s">
        <v>73</v>
      </c>
      <c r="D41" s="11">
        <v>2</v>
      </c>
      <c r="E41" s="12">
        <v>7761</v>
      </c>
      <c r="F41" s="13">
        <v>40917</v>
      </c>
      <c r="G41" s="13">
        <v>40922</v>
      </c>
      <c r="H41" s="14">
        <v>360</v>
      </c>
      <c r="I41" s="11">
        <v>48</v>
      </c>
      <c r="J41" s="11">
        <v>20</v>
      </c>
      <c r="K41" s="17">
        <f t="shared" si="0"/>
        <v>4500</v>
      </c>
      <c r="L41" s="11">
        <f t="shared" si="1"/>
        <v>960</v>
      </c>
      <c r="M41" s="11">
        <v>4</v>
      </c>
      <c r="N41" s="11">
        <f t="shared" si="2"/>
        <v>3840</v>
      </c>
      <c r="O41" s="11">
        <v>2</v>
      </c>
      <c r="P41" s="11">
        <f t="shared" si="3"/>
        <v>1920</v>
      </c>
      <c r="Q41" s="11">
        <v>8866.99507389162</v>
      </c>
      <c r="R41" s="11">
        <v>4078.81773399015</v>
      </c>
      <c r="S41" s="11">
        <v>1819.13822048125</v>
      </c>
      <c r="T41" s="11">
        <v>646.153846153846</v>
      </c>
      <c r="U41" s="11">
        <v>160</v>
      </c>
      <c r="V41" s="11">
        <v>8121.6</v>
      </c>
    </row>
    <row r="42" ht="14.5" spans="1:22">
      <c r="A42" s="11">
        <v>39762318</v>
      </c>
      <c r="B42" s="11" t="s">
        <v>24</v>
      </c>
      <c r="C42" s="11" t="s">
        <v>83</v>
      </c>
      <c r="D42" s="11">
        <v>2</v>
      </c>
      <c r="E42" s="12">
        <v>110110</v>
      </c>
      <c r="F42" s="13">
        <v>40919</v>
      </c>
      <c r="G42" s="13">
        <v>40924</v>
      </c>
      <c r="H42" s="14">
        <v>600</v>
      </c>
      <c r="I42" s="11">
        <v>80</v>
      </c>
      <c r="J42" s="11">
        <v>20</v>
      </c>
      <c r="K42" s="17">
        <f t="shared" si="0"/>
        <v>7500</v>
      </c>
      <c r="L42" s="11">
        <f t="shared" si="1"/>
        <v>1600</v>
      </c>
      <c r="M42" s="11">
        <v>4</v>
      </c>
      <c r="N42" s="11">
        <f t="shared" si="2"/>
        <v>6400</v>
      </c>
      <c r="O42" s="11">
        <v>2</v>
      </c>
      <c r="P42" s="11">
        <f t="shared" si="3"/>
        <v>3200</v>
      </c>
      <c r="Q42" s="11">
        <v>10461.9368203004</v>
      </c>
      <c r="R42" s="11">
        <v>4171.23287671233</v>
      </c>
      <c r="S42" s="11">
        <v>2075.29411764706</v>
      </c>
      <c r="T42" s="11">
        <v>637.254901960784</v>
      </c>
      <c r="U42" s="11">
        <v>150</v>
      </c>
      <c r="V42" s="11">
        <v>13536</v>
      </c>
    </row>
    <row r="43" ht="14.5" spans="1:22">
      <c r="A43" s="11">
        <v>39762319</v>
      </c>
      <c r="B43" s="11" t="s">
        <v>20</v>
      </c>
      <c r="C43" s="11" t="s">
        <v>82</v>
      </c>
      <c r="D43" s="11">
        <v>1</v>
      </c>
      <c r="E43" s="12">
        <v>100010</v>
      </c>
      <c r="F43" s="13">
        <v>40920</v>
      </c>
      <c r="G43" s="13">
        <v>40927</v>
      </c>
      <c r="H43" s="14">
        <v>700</v>
      </c>
      <c r="I43" s="11">
        <v>80</v>
      </c>
      <c r="J43" s="11">
        <v>20</v>
      </c>
      <c r="K43" s="17">
        <f t="shared" si="0"/>
        <v>17500</v>
      </c>
      <c r="L43" s="11">
        <f t="shared" si="1"/>
        <v>1600</v>
      </c>
      <c r="M43" s="11">
        <v>4</v>
      </c>
      <c r="N43" s="11">
        <f t="shared" si="2"/>
        <v>6400</v>
      </c>
      <c r="O43" s="11">
        <v>2</v>
      </c>
      <c r="P43" s="11">
        <f t="shared" si="3"/>
        <v>3200</v>
      </c>
      <c r="Q43" s="11">
        <v>29588.8399412628</v>
      </c>
      <c r="R43" s="11">
        <v>13610.8663729809</v>
      </c>
      <c r="S43" s="11">
        <v>3687.58169934641</v>
      </c>
      <c r="T43" s="11">
        <v>944.186046511628</v>
      </c>
      <c r="U43" s="11">
        <v>360</v>
      </c>
      <c r="V43" s="11">
        <v>13536</v>
      </c>
    </row>
  </sheetData>
  <autoFilter ref="B1:B43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7"/>
    </sheetView>
  </sheetViews>
  <sheetFormatPr defaultColWidth="8.72727272727273" defaultRowHeight="14" outlineLevelRow="6" outlineLevelCol="5"/>
  <sheetData>
    <row r="1" ht="14.5" spans="1:6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ht="14.5" spans="1:6">
      <c r="A2" s="2">
        <v>1</v>
      </c>
      <c r="B2" s="2" t="s">
        <v>67</v>
      </c>
      <c r="C2" s="2">
        <v>8</v>
      </c>
      <c r="D2" s="3" t="s">
        <v>90</v>
      </c>
      <c r="E2" s="2">
        <v>2</v>
      </c>
      <c r="F2" s="4">
        <v>0.9</v>
      </c>
    </row>
    <row r="3" ht="14.5" spans="1:6">
      <c r="A3" s="2">
        <v>2</v>
      </c>
      <c r="B3" s="2" t="s">
        <v>68</v>
      </c>
      <c r="C3" s="2">
        <v>17</v>
      </c>
      <c r="D3" s="3" t="s">
        <v>91</v>
      </c>
      <c r="E3" s="2">
        <v>9</v>
      </c>
      <c r="F3" s="4">
        <v>0.85</v>
      </c>
    </row>
    <row r="4" ht="14.5" spans="1:6">
      <c r="A4" s="2">
        <v>3</v>
      </c>
      <c r="B4" s="2" t="s">
        <v>69</v>
      </c>
      <c r="C4" s="2">
        <v>31</v>
      </c>
      <c r="D4" s="3" t="s">
        <v>92</v>
      </c>
      <c r="E4" s="2">
        <v>6</v>
      </c>
      <c r="F4" s="4">
        <v>0.95</v>
      </c>
    </row>
    <row r="5" ht="14.5" spans="1:6">
      <c r="A5" s="2">
        <v>4</v>
      </c>
      <c r="B5" s="2" t="s">
        <v>70</v>
      </c>
      <c r="C5" s="2">
        <v>112</v>
      </c>
      <c r="D5" s="3" t="s">
        <v>92</v>
      </c>
      <c r="E5" s="2">
        <v>19</v>
      </c>
      <c r="F5" s="4">
        <v>0.9</v>
      </c>
    </row>
    <row r="6" ht="14.5" spans="1:6">
      <c r="A6" s="2">
        <v>5</v>
      </c>
      <c r="B6" s="2" t="s">
        <v>71</v>
      </c>
      <c r="C6" s="2">
        <v>284</v>
      </c>
      <c r="D6" s="3" t="s">
        <v>93</v>
      </c>
      <c r="E6" s="2">
        <v>24</v>
      </c>
      <c r="F6" s="4">
        <v>0.85</v>
      </c>
    </row>
    <row r="7" ht="14.5" spans="1:6">
      <c r="A7" s="2">
        <v>6</v>
      </c>
      <c r="B7" s="2" t="s">
        <v>72</v>
      </c>
      <c r="C7" s="2">
        <v>7</v>
      </c>
      <c r="D7" s="3" t="s">
        <v>94</v>
      </c>
      <c r="E7" s="2">
        <v>7</v>
      </c>
      <c r="F7" s="4">
        <v>0.75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Materials</vt:lpstr>
      <vt:lpstr>Orders</vt:lpstr>
      <vt:lpstr>overall</vt:lpstr>
      <vt:lpstr>MC qty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空城琥珀柒</dc:creator>
  <cp:lastModifiedBy>喻炫琪</cp:lastModifiedBy>
  <dcterms:created xsi:type="dcterms:W3CDTF">2025-12-20T08:13:00Z</dcterms:created>
  <dcterms:modified xsi:type="dcterms:W3CDTF">2026-02-06T13:37:41Z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A3F1081055D14195825951ADBF90F798</vt:lpwstr>
  </property>
  <property fmtid="{D5CDD505-2E9C-101B-9397-08002B2CF9AE}" pid="3" name="KSOProductBuildVer">
    <vt:lpwstr>2052-11.1.0.12763</vt:lpwstr>
  </property>
</Properties>
</file>