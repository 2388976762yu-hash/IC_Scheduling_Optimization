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7350" activeTab="4"/>
  </bookViews>
  <sheets>
    <sheet name="Illustration" sheetId="10" r:id="rId1"/>
    <sheet name="Process" sheetId="1" r:id="rId2"/>
    <sheet name="MC qty&amp;MMR" sheetId="2" r:id="rId3"/>
    <sheet name="Man&amp;MC status" sheetId="3" r:id="rId4"/>
    <sheet name="Loading" sheetId="12" r:id="rId5"/>
    <sheet name="Sheet1" sheetId="13" r:id="rId6"/>
  </sheets>
  <definedNames>
    <definedName name="_xlnm._FilterDatabase" localSheetId="4" hidden="1">Loading!$B$2:$AY$142</definedName>
    <definedName name="SanDsk">Loading!$B$3:$S$142</definedName>
  </definedNames>
  <calcPr calcId="125725"/>
</workbook>
</file>

<file path=xl/calcChain.xml><?xml version="1.0" encoding="utf-8"?>
<calcChain xmlns="http://schemas.openxmlformats.org/spreadsheetml/2006/main">
  <c r="I143" i="13"/>
  <c r="A5" i="12"/>
  <c r="A6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4"/>
  <c r="J104" i="13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B4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J92"/>
  <c r="J93"/>
  <c r="J94"/>
  <c r="J95"/>
  <c r="J96"/>
  <c r="J97"/>
  <c r="J98"/>
  <c r="J99"/>
  <c r="J100"/>
  <c r="J101"/>
  <c r="J102"/>
  <c r="J103"/>
  <c r="J76"/>
  <c r="J77"/>
  <c r="J78"/>
  <c r="J79"/>
  <c r="J80"/>
  <c r="J81"/>
  <c r="J82"/>
  <c r="J83"/>
  <c r="J84"/>
  <c r="J85"/>
  <c r="J86"/>
  <c r="J87"/>
  <c r="J88"/>
  <c r="J89"/>
  <c r="J90"/>
  <c r="J91"/>
  <c r="J62"/>
  <c r="J63"/>
  <c r="J64"/>
  <c r="J65"/>
  <c r="J66"/>
  <c r="J67"/>
  <c r="J68"/>
  <c r="J69"/>
  <c r="J70"/>
  <c r="J71"/>
  <c r="J72"/>
  <c r="J73"/>
  <c r="J74"/>
  <c r="J75"/>
  <c r="J48"/>
  <c r="J49"/>
  <c r="J50"/>
  <c r="J51"/>
  <c r="J52"/>
  <c r="J53"/>
  <c r="J54"/>
  <c r="J55"/>
  <c r="J56"/>
  <c r="J57"/>
  <c r="J58"/>
  <c r="J59"/>
  <c r="J60"/>
  <c r="J61"/>
  <c r="J35"/>
  <c r="J36"/>
  <c r="J37"/>
  <c r="J38"/>
  <c r="J39"/>
  <c r="J40"/>
  <c r="J41"/>
  <c r="J42"/>
  <c r="J43"/>
  <c r="J44"/>
  <c r="J45"/>
  <c r="J46"/>
  <c r="J47"/>
  <c r="J22"/>
  <c r="J23"/>
  <c r="J24"/>
  <c r="J25"/>
  <c r="J26"/>
  <c r="J27"/>
  <c r="J28"/>
  <c r="J29"/>
  <c r="J30"/>
  <c r="J31"/>
  <c r="J32"/>
  <c r="J33"/>
  <c r="J34"/>
  <c r="J4"/>
  <c r="J5"/>
  <c r="J6"/>
  <c r="J7"/>
  <c r="J8"/>
  <c r="J9"/>
  <c r="J10"/>
  <c r="J11"/>
  <c r="J12"/>
  <c r="J13"/>
  <c r="J14"/>
  <c r="J15"/>
  <c r="J16"/>
  <c r="J17"/>
  <c r="J18"/>
  <c r="J19"/>
  <c r="J20"/>
  <c r="J21"/>
  <c r="J3"/>
  <c r="H4" l="1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3"/>
  <c r="C18"/>
  <c r="D18"/>
  <c r="C19"/>
  <c r="D19"/>
  <c r="C20"/>
  <c r="D20"/>
  <c r="C21"/>
  <c r="D21"/>
  <c r="C22"/>
  <c r="D22"/>
  <c r="C23"/>
  <c r="D23"/>
  <c r="C24"/>
  <c r="D24"/>
  <c r="C25"/>
  <c r="D25"/>
  <c r="C26"/>
  <c r="D26"/>
  <c r="C27"/>
  <c r="D27"/>
  <c r="C28"/>
  <c r="D28"/>
  <c r="C29"/>
  <c r="D29"/>
  <c r="C30"/>
  <c r="D30"/>
  <c r="C31"/>
  <c r="D31"/>
  <c r="C32"/>
  <c r="D32"/>
  <c r="C33"/>
  <c r="D33"/>
  <c r="C34"/>
  <c r="D34"/>
  <c r="C35"/>
  <c r="D35"/>
  <c r="C36"/>
  <c r="D36"/>
  <c r="C37"/>
  <c r="D37"/>
  <c r="C38"/>
  <c r="D38"/>
  <c r="C39"/>
  <c r="D39"/>
  <c r="C40"/>
  <c r="D40"/>
  <c r="C41"/>
  <c r="D41"/>
  <c r="C42"/>
  <c r="D42"/>
  <c r="C43"/>
  <c r="D43"/>
  <c r="C44"/>
  <c r="D44"/>
  <c r="C45"/>
  <c r="D45"/>
  <c r="C46"/>
  <c r="D46"/>
  <c r="C47"/>
  <c r="D47"/>
  <c r="C48"/>
  <c r="D48"/>
  <c r="C49"/>
  <c r="D49"/>
  <c r="C50"/>
  <c r="D50"/>
  <c r="C51"/>
  <c r="D51"/>
  <c r="C52"/>
  <c r="D52"/>
  <c r="C53"/>
  <c r="D53"/>
  <c r="C54"/>
  <c r="D54"/>
  <c r="C55"/>
  <c r="D55"/>
  <c r="C56"/>
  <c r="D56"/>
  <c r="C57"/>
  <c r="D57"/>
  <c r="C58"/>
  <c r="D58"/>
  <c r="C59"/>
  <c r="D59"/>
  <c r="C60"/>
  <c r="D60"/>
  <c r="C61"/>
  <c r="D61"/>
  <c r="C62"/>
  <c r="D62"/>
  <c r="C63"/>
  <c r="D63"/>
  <c r="C64"/>
  <c r="D64"/>
  <c r="C65"/>
  <c r="D65"/>
  <c r="C66"/>
  <c r="D66"/>
  <c r="C67"/>
  <c r="D67"/>
  <c r="C68"/>
  <c r="D68"/>
  <c r="C69"/>
  <c r="D69"/>
  <c r="C70"/>
  <c r="D70"/>
  <c r="C71"/>
  <c r="D71"/>
  <c r="C72"/>
  <c r="D72"/>
  <c r="C73"/>
  <c r="D73"/>
  <c r="C74"/>
  <c r="D74"/>
  <c r="C75"/>
  <c r="D75"/>
  <c r="C76"/>
  <c r="D76"/>
  <c r="C77"/>
  <c r="D77"/>
  <c r="C78"/>
  <c r="D78"/>
  <c r="C79"/>
  <c r="D79"/>
  <c r="C80"/>
  <c r="D80"/>
  <c r="C81"/>
  <c r="D81"/>
  <c r="C82"/>
  <c r="D82"/>
  <c r="C83"/>
  <c r="D83"/>
  <c r="C84"/>
  <c r="D84"/>
  <c r="C85"/>
  <c r="D85"/>
  <c r="C86"/>
  <c r="D86"/>
  <c r="C87"/>
  <c r="D87"/>
  <c r="C88"/>
  <c r="D88"/>
  <c r="C89"/>
  <c r="D89"/>
  <c r="C90"/>
  <c r="D90"/>
  <c r="C91"/>
  <c r="D91"/>
  <c r="C92"/>
  <c r="D92"/>
  <c r="C93"/>
  <c r="D93"/>
  <c r="C94"/>
  <c r="D94"/>
  <c r="C95"/>
  <c r="D95"/>
  <c r="C96"/>
  <c r="D96"/>
  <c r="C97"/>
  <c r="D97"/>
  <c r="C98"/>
  <c r="D98"/>
  <c r="C99"/>
  <c r="D99"/>
  <c r="C100"/>
  <c r="D100"/>
  <c r="C101"/>
  <c r="D101"/>
  <c r="C102"/>
  <c r="D102"/>
  <c r="C103"/>
  <c r="D103"/>
  <c r="C104"/>
  <c r="D104"/>
  <c r="C105"/>
  <c r="D105"/>
  <c r="C106"/>
  <c r="D106"/>
  <c r="C107"/>
  <c r="D107"/>
  <c r="C108"/>
  <c r="D108"/>
  <c r="C109"/>
  <c r="D109"/>
  <c r="C110"/>
  <c r="D110"/>
  <c r="C111"/>
  <c r="D111"/>
  <c r="C112"/>
  <c r="D112"/>
  <c r="C113"/>
  <c r="D113"/>
  <c r="C114"/>
  <c r="D114"/>
  <c r="C115"/>
  <c r="D115"/>
  <c r="C116"/>
  <c r="D116"/>
  <c r="C117"/>
  <c r="D117"/>
  <c r="C118"/>
  <c r="D118"/>
  <c r="C119"/>
  <c r="D119"/>
  <c r="C120"/>
  <c r="D120"/>
  <c r="C121"/>
  <c r="D121"/>
  <c r="C122"/>
  <c r="D122"/>
  <c r="C123"/>
  <c r="D123"/>
  <c r="C124"/>
  <c r="D124"/>
  <c r="C125"/>
  <c r="D125"/>
  <c r="C126"/>
  <c r="D126"/>
  <c r="C127"/>
  <c r="D127"/>
  <c r="C128"/>
  <c r="D128"/>
  <c r="C129"/>
  <c r="D129"/>
  <c r="C130"/>
  <c r="D130"/>
  <c r="C131"/>
  <c r="D131"/>
  <c r="C132"/>
  <c r="D132"/>
  <c r="C133"/>
  <c r="D133"/>
  <c r="C134"/>
  <c r="D134"/>
  <c r="C135"/>
  <c r="D135"/>
  <c r="C136"/>
  <c r="D136"/>
  <c r="C137"/>
  <c r="D137"/>
  <c r="C138"/>
  <c r="D138"/>
  <c r="C139"/>
  <c r="D139"/>
  <c r="C140"/>
  <c r="D140"/>
  <c r="C141"/>
  <c r="D141"/>
  <c r="C142"/>
  <c r="D142"/>
  <c r="C4"/>
  <c r="D4"/>
  <c r="C5"/>
  <c r="D5"/>
  <c r="C6"/>
  <c r="D6"/>
  <c r="C7"/>
  <c r="D7"/>
  <c r="C8"/>
  <c r="D8"/>
  <c r="C9"/>
  <c r="D9"/>
  <c r="C10"/>
  <c r="D10"/>
  <c r="C11"/>
  <c r="D11"/>
  <c r="C12"/>
  <c r="D12"/>
  <c r="C13"/>
  <c r="D13"/>
  <c r="C14"/>
  <c r="D14"/>
  <c r="C15"/>
  <c r="D15"/>
  <c r="C16"/>
  <c r="D16"/>
  <c r="C17"/>
  <c r="D17"/>
  <c r="C3"/>
  <c r="D3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4"/>
  <c r="N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4"/>
  <c r="O5"/>
  <c r="O6"/>
  <c r="O7"/>
  <c r="O8"/>
  <c r="O9"/>
  <c r="O10"/>
  <c r="O11"/>
  <c r="O12"/>
  <c r="O13"/>
  <c r="O3"/>
  <c r="G136"/>
  <c r="G137"/>
  <c r="G138"/>
  <c r="G139"/>
  <c r="G140"/>
  <c r="G141"/>
  <c r="G142"/>
  <c r="G4"/>
  <c r="G5"/>
  <c r="G6"/>
  <c r="G7"/>
  <c r="K7" s="1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3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3"/>
  <c r="M3" s="1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01"/>
  <c r="E102"/>
  <c r="E103"/>
  <c r="E104"/>
  <c r="E105"/>
  <c r="E106"/>
  <c r="E107"/>
  <c r="E108"/>
  <c r="E109"/>
  <c r="E110"/>
  <c r="E111"/>
  <c r="E112"/>
  <c r="E113"/>
  <c r="E114"/>
  <c r="E115"/>
  <c r="E88"/>
  <c r="E89"/>
  <c r="E90"/>
  <c r="E91"/>
  <c r="E92"/>
  <c r="E93"/>
  <c r="E94"/>
  <c r="E95"/>
  <c r="E96"/>
  <c r="E97"/>
  <c r="E98"/>
  <c r="E99"/>
  <c r="E100"/>
  <c r="E75"/>
  <c r="E76"/>
  <c r="E77"/>
  <c r="E78"/>
  <c r="E79"/>
  <c r="E80"/>
  <c r="E81"/>
  <c r="E82"/>
  <c r="E83"/>
  <c r="E84"/>
  <c r="E85"/>
  <c r="E86"/>
  <c r="E87"/>
  <c r="E59"/>
  <c r="I59" s="1"/>
  <c r="K59" s="1"/>
  <c r="E60"/>
  <c r="I60" s="1"/>
  <c r="K60" s="1"/>
  <c r="E61"/>
  <c r="I61" s="1"/>
  <c r="K61" s="1"/>
  <c r="E62"/>
  <c r="I62" s="1"/>
  <c r="K62" s="1"/>
  <c r="E63"/>
  <c r="I63" s="1"/>
  <c r="K63" s="1"/>
  <c r="E64"/>
  <c r="I64" s="1"/>
  <c r="K64" s="1"/>
  <c r="E65"/>
  <c r="I65" s="1"/>
  <c r="K65" s="1"/>
  <c r="E66"/>
  <c r="I66" s="1"/>
  <c r="K66" s="1"/>
  <c r="E67"/>
  <c r="I67" s="1"/>
  <c r="K67" s="1"/>
  <c r="E68"/>
  <c r="I68" s="1"/>
  <c r="K68" s="1"/>
  <c r="E69"/>
  <c r="I69" s="1"/>
  <c r="K69" s="1"/>
  <c r="E70"/>
  <c r="I70" s="1"/>
  <c r="K70" s="1"/>
  <c r="E71"/>
  <c r="I71" s="1"/>
  <c r="K71" s="1"/>
  <c r="E72"/>
  <c r="I72" s="1"/>
  <c r="K72" s="1"/>
  <c r="E73"/>
  <c r="I73" s="1"/>
  <c r="K73" s="1"/>
  <c r="E74"/>
  <c r="I74" s="1"/>
  <c r="K74" s="1"/>
  <c r="E43"/>
  <c r="I43" s="1"/>
  <c r="K43" s="1"/>
  <c r="E44"/>
  <c r="I44" s="1"/>
  <c r="K44" s="1"/>
  <c r="E45"/>
  <c r="I45" s="1"/>
  <c r="K45" s="1"/>
  <c r="E46"/>
  <c r="I46" s="1"/>
  <c r="K46" s="1"/>
  <c r="E47"/>
  <c r="I47" s="1"/>
  <c r="K47" s="1"/>
  <c r="E48"/>
  <c r="I48" s="1"/>
  <c r="K48" s="1"/>
  <c r="E49"/>
  <c r="I49" s="1"/>
  <c r="K49" s="1"/>
  <c r="E50"/>
  <c r="I50" s="1"/>
  <c r="K50" s="1"/>
  <c r="E51"/>
  <c r="I51" s="1"/>
  <c r="K51" s="1"/>
  <c r="E52"/>
  <c r="I52" s="1"/>
  <c r="K52" s="1"/>
  <c r="E53"/>
  <c r="I53" s="1"/>
  <c r="K53" s="1"/>
  <c r="E54"/>
  <c r="I54" s="1"/>
  <c r="K54" s="1"/>
  <c r="E55"/>
  <c r="I55" s="1"/>
  <c r="K55" s="1"/>
  <c r="E56"/>
  <c r="I56" s="1"/>
  <c r="K56" s="1"/>
  <c r="E57"/>
  <c r="I57" s="1"/>
  <c r="K57" s="1"/>
  <c r="E58"/>
  <c r="I58" s="1"/>
  <c r="K58" s="1"/>
  <c r="E29"/>
  <c r="I29" s="1"/>
  <c r="K29" s="1"/>
  <c r="E30"/>
  <c r="I30" s="1"/>
  <c r="K30" s="1"/>
  <c r="E31"/>
  <c r="I31" s="1"/>
  <c r="K31" s="1"/>
  <c r="E32"/>
  <c r="I32" s="1"/>
  <c r="K32" s="1"/>
  <c r="E33"/>
  <c r="I33" s="1"/>
  <c r="K33" s="1"/>
  <c r="E34"/>
  <c r="I34" s="1"/>
  <c r="K34" s="1"/>
  <c r="E35"/>
  <c r="I35" s="1"/>
  <c r="K35" s="1"/>
  <c r="E36"/>
  <c r="I36" s="1"/>
  <c r="K36" s="1"/>
  <c r="E37"/>
  <c r="I37" s="1"/>
  <c r="K37" s="1"/>
  <c r="E38"/>
  <c r="I38" s="1"/>
  <c r="K38" s="1"/>
  <c r="E39"/>
  <c r="I39" s="1"/>
  <c r="K39" s="1"/>
  <c r="E40"/>
  <c r="I40" s="1"/>
  <c r="K40" s="1"/>
  <c r="E41"/>
  <c r="I41" s="1"/>
  <c r="K41" s="1"/>
  <c r="E42"/>
  <c r="I42" s="1"/>
  <c r="K42" s="1"/>
  <c r="E16"/>
  <c r="I16" s="1"/>
  <c r="E17"/>
  <c r="I17" s="1"/>
  <c r="K17" s="1"/>
  <c r="E18"/>
  <c r="I18" s="1"/>
  <c r="E19"/>
  <c r="I19" s="1"/>
  <c r="K19" s="1"/>
  <c r="E20"/>
  <c r="I20" s="1"/>
  <c r="E21"/>
  <c r="I21" s="1"/>
  <c r="K21" s="1"/>
  <c r="E22"/>
  <c r="I22" s="1"/>
  <c r="E23"/>
  <c r="I23" s="1"/>
  <c r="K23" s="1"/>
  <c r="E24"/>
  <c r="I24" s="1"/>
  <c r="E25"/>
  <c r="I25" s="1"/>
  <c r="K25" s="1"/>
  <c r="E26"/>
  <c r="I26" s="1"/>
  <c r="E27"/>
  <c r="E28"/>
  <c r="E4"/>
  <c r="E5"/>
  <c r="E6"/>
  <c r="E7"/>
  <c r="E8"/>
  <c r="E9"/>
  <c r="E10"/>
  <c r="E11"/>
  <c r="E12"/>
  <c r="E13"/>
  <c r="E14"/>
  <c r="E15"/>
  <c r="E3"/>
  <c r="I3" s="1"/>
  <c r="K3" s="1"/>
  <c r="K26" l="1"/>
  <c r="K24"/>
  <c r="K22"/>
  <c r="K20"/>
  <c r="K18"/>
  <c r="K16"/>
  <c r="M26"/>
  <c r="M24"/>
  <c r="M22"/>
  <c r="M20"/>
  <c r="M18"/>
  <c r="M16"/>
  <c r="M14"/>
  <c r="M12"/>
  <c r="M10"/>
  <c r="M8"/>
  <c r="M6"/>
  <c r="M4"/>
  <c r="M141"/>
  <c r="M139"/>
  <c r="M137"/>
  <c r="M135"/>
  <c r="M133"/>
  <c r="M131"/>
  <c r="M129"/>
  <c r="M127"/>
  <c r="M125"/>
  <c r="M123"/>
  <c r="M121"/>
  <c r="M119"/>
  <c r="M117"/>
  <c r="M115"/>
  <c r="M113"/>
  <c r="M111"/>
  <c r="M109"/>
  <c r="M107"/>
  <c r="M105"/>
  <c r="M103"/>
  <c r="M101"/>
  <c r="M99"/>
  <c r="M97"/>
  <c r="M95"/>
  <c r="M93"/>
  <c r="M91"/>
  <c r="M89"/>
  <c r="M87"/>
  <c r="M85"/>
  <c r="M83"/>
  <c r="M81"/>
  <c r="M79"/>
  <c r="M77"/>
  <c r="M75"/>
  <c r="M73"/>
  <c r="M71"/>
  <c r="M69"/>
  <c r="M67"/>
  <c r="M65"/>
  <c r="M63"/>
  <c r="M61"/>
  <c r="M59"/>
  <c r="M57"/>
  <c r="M55"/>
  <c r="M53"/>
  <c r="M51"/>
  <c r="M49"/>
  <c r="M47"/>
  <c r="M45"/>
  <c r="M43"/>
  <c r="M41"/>
  <c r="M39"/>
  <c r="M37"/>
  <c r="M35"/>
  <c r="M33"/>
  <c r="M31"/>
  <c r="M29"/>
  <c r="M27"/>
  <c r="I14"/>
  <c r="K14" s="1"/>
  <c r="I12"/>
  <c r="K12" s="1"/>
  <c r="I10"/>
  <c r="K10" s="1"/>
  <c r="I8"/>
  <c r="K8" s="1"/>
  <c r="I27"/>
  <c r="K27" s="1"/>
  <c r="M25"/>
  <c r="M23"/>
  <c r="M21"/>
  <c r="M19"/>
  <c r="M17"/>
  <c r="M15"/>
  <c r="M13"/>
  <c r="M11"/>
  <c r="M9"/>
  <c r="M7"/>
  <c r="M5"/>
  <c r="M142"/>
  <c r="M140"/>
  <c r="M138"/>
  <c r="M136"/>
  <c r="M134"/>
  <c r="M132"/>
  <c r="M130"/>
  <c r="M128"/>
  <c r="M126"/>
  <c r="M124"/>
  <c r="M122"/>
  <c r="M120"/>
  <c r="M118"/>
  <c r="M116"/>
  <c r="M114"/>
  <c r="M112"/>
  <c r="M110"/>
  <c r="M108"/>
  <c r="M106"/>
  <c r="M104"/>
  <c r="M102"/>
  <c r="M100"/>
  <c r="M98"/>
  <c r="M96"/>
  <c r="M94"/>
  <c r="M92"/>
  <c r="M90"/>
  <c r="M88"/>
  <c r="M86"/>
  <c r="M84"/>
  <c r="M82"/>
  <c r="M80"/>
  <c r="M78"/>
  <c r="M76"/>
  <c r="M74"/>
  <c r="M72"/>
  <c r="M70"/>
  <c r="M68"/>
  <c r="M66"/>
  <c r="M64"/>
  <c r="M62"/>
  <c r="M60"/>
  <c r="M58"/>
  <c r="M56"/>
  <c r="M54"/>
  <c r="M52"/>
  <c r="M50"/>
  <c r="M48"/>
  <c r="M46"/>
  <c r="M44"/>
  <c r="M42"/>
  <c r="M40"/>
  <c r="M38"/>
  <c r="M36"/>
  <c r="M34"/>
  <c r="M32"/>
  <c r="M30"/>
  <c r="M28"/>
  <c r="L15"/>
  <c r="L13"/>
  <c r="L11"/>
  <c r="L9"/>
  <c r="L7"/>
  <c r="L5"/>
  <c r="L142"/>
  <c r="L140"/>
  <c r="L138"/>
  <c r="L136"/>
  <c r="L134"/>
  <c r="L132"/>
  <c r="L130"/>
  <c r="L128"/>
  <c r="L126"/>
  <c r="L124"/>
  <c r="L122"/>
  <c r="L120"/>
  <c r="L118"/>
  <c r="L116"/>
  <c r="L114"/>
  <c r="L112"/>
  <c r="L110"/>
  <c r="L108"/>
  <c r="L106"/>
  <c r="L104"/>
  <c r="L102"/>
  <c r="L100"/>
  <c r="L98"/>
  <c r="L96"/>
  <c r="L94"/>
  <c r="L92"/>
  <c r="L90"/>
  <c r="L88"/>
  <c r="L86"/>
  <c r="L84"/>
  <c r="L82"/>
  <c r="L80"/>
  <c r="L78"/>
  <c r="L76"/>
  <c r="L74"/>
  <c r="L72"/>
  <c r="L70"/>
  <c r="L68"/>
  <c r="L66"/>
  <c r="L64"/>
  <c r="L62"/>
  <c r="L60"/>
  <c r="L58"/>
  <c r="L56"/>
  <c r="L54"/>
  <c r="L52"/>
  <c r="L50"/>
  <c r="L48"/>
  <c r="L46"/>
  <c r="L44"/>
  <c r="L42"/>
  <c r="L40"/>
  <c r="L38"/>
  <c r="L36"/>
  <c r="L34"/>
  <c r="L32"/>
  <c r="L30"/>
  <c r="L28"/>
  <c r="L26"/>
  <c r="L24"/>
  <c r="L22"/>
  <c r="L20"/>
  <c r="L18"/>
  <c r="L16"/>
  <c r="L3"/>
  <c r="L14"/>
  <c r="L12"/>
  <c r="L10"/>
  <c r="L8"/>
  <c r="L6"/>
  <c r="L4"/>
  <c r="L141"/>
  <c r="L139"/>
  <c r="L137"/>
  <c r="L135"/>
  <c r="L133"/>
  <c r="L131"/>
  <c r="L129"/>
  <c r="L127"/>
  <c r="L125"/>
  <c r="L123"/>
  <c r="L121"/>
  <c r="L119"/>
  <c r="L117"/>
  <c r="L115"/>
  <c r="L113"/>
  <c r="L111"/>
  <c r="L109"/>
  <c r="L107"/>
  <c r="L105"/>
  <c r="L103"/>
  <c r="L101"/>
  <c r="L99"/>
  <c r="L97"/>
  <c r="L95"/>
  <c r="L93"/>
  <c r="L91"/>
  <c r="L89"/>
  <c r="L87"/>
  <c r="L85"/>
  <c r="L83"/>
  <c r="L81"/>
  <c r="L79"/>
  <c r="L77"/>
  <c r="L75"/>
  <c r="L73"/>
  <c r="L71"/>
  <c r="L69"/>
  <c r="L67"/>
  <c r="L65"/>
  <c r="L63"/>
  <c r="L61"/>
  <c r="L59"/>
  <c r="L57"/>
  <c r="L55"/>
  <c r="L53"/>
  <c r="L51"/>
  <c r="L49"/>
  <c r="L47"/>
  <c r="L45"/>
  <c r="L43"/>
  <c r="L41"/>
  <c r="L39"/>
  <c r="L37"/>
  <c r="L35"/>
  <c r="L33"/>
  <c r="L31"/>
  <c r="L29"/>
  <c r="L27"/>
  <c r="L25"/>
  <c r="L23"/>
  <c r="L21"/>
  <c r="L19"/>
  <c r="L17"/>
  <c r="I15"/>
  <c r="K15" s="1"/>
  <c r="I13"/>
  <c r="K13" s="1"/>
  <c r="I11"/>
  <c r="K11" s="1"/>
  <c r="I9"/>
  <c r="K9" s="1"/>
  <c r="I5"/>
  <c r="K5" s="1"/>
  <c r="I28"/>
  <c r="K28" s="1"/>
  <c r="I86"/>
  <c r="K86" s="1"/>
  <c r="I84"/>
  <c r="K84" s="1"/>
  <c r="I82"/>
  <c r="K82" s="1"/>
  <c r="I80"/>
  <c r="K80" s="1"/>
  <c r="I78"/>
  <c r="K78" s="1"/>
  <c r="I76"/>
  <c r="K76" s="1"/>
  <c r="I100"/>
  <c r="K100" s="1"/>
  <c r="I98"/>
  <c r="K98" s="1"/>
  <c r="I96"/>
  <c r="K96" s="1"/>
  <c r="I94"/>
  <c r="K94" s="1"/>
  <c r="I92"/>
  <c r="K92" s="1"/>
  <c r="I90"/>
  <c r="K90" s="1"/>
  <c r="I88"/>
  <c r="K88" s="1"/>
  <c r="I114"/>
  <c r="K114" s="1"/>
  <c r="I112"/>
  <c r="K112" s="1"/>
  <c r="I110"/>
  <c r="K110" s="1"/>
  <c r="I108"/>
  <c r="K108" s="1"/>
  <c r="I106"/>
  <c r="K106" s="1"/>
  <c r="I104"/>
  <c r="K104" s="1"/>
  <c r="I102"/>
  <c r="K102" s="1"/>
  <c r="I142"/>
  <c r="K142" s="1"/>
  <c r="I140"/>
  <c r="K140" s="1"/>
  <c r="I138"/>
  <c r="K138" s="1"/>
  <c r="I136"/>
  <c r="K136" s="1"/>
  <c r="I134"/>
  <c r="K134" s="1"/>
  <c r="I132"/>
  <c r="K132" s="1"/>
  <c r="I130"/>
  <c r="K130" s="1"/>
  <c r="I128"/>
  <c r="K128" s="1"/>
  <c r="I126"/>
  <c r="K126" s="1"/>
  <c r="I124"/>
  <c r="K124" s="1"/>
  <c r="I122"/>
  <c r="K122" s="1"/>
  <c r="I120"/>
  <c r="K120" s="1"/>
  <c r="I118"/>
  <c r="K118" s="1"/>
  <c r="I116"/>
  <c r="K116" s="1"/>
  <c r="I6"/>
  <c r="K6" s="1"/>
  <c r="I4"/>
  <c r="K4" s="1"/>
  <c r="I87"/>
  <c r="K87" s="1"/>
  <c r="I85"/>
  <c r="K85" s="1"/>
  <c r="I83"/>
  <c r="K83" s="1"/>
  <c r="I81"/>
  <c r="K81" s="1"/>
  <c r="I79"/>
  <c r="K79" s="1"/>
  <c r="I77"/>
  <c r="K77" s="1"/>
  <c r="I75"/>
  <c r="K75" s="1"/>
  <c r="I99"/>
  <c r="K99" s="1"/>
  <c r="I97"/>
  <c r="K97" s="1"/>
  <c r="I95"/>
  <c r="K95" s="1"/>
  <c r="I93"/>
  <c r="K93" s="1"/>
  <c r="I91"/>
  <c r="K91" s="1"/>
  <c r="I89"/>
  <c r="K89" s="1"/>
  <c r="I115"/>
  <c r="K115" s="1"/>
  <c r="I113"/>
  <c r="K113" s="1"/>
  <c r="I111"/>
  <c r="K111" s="1"/>
  <c r="I109"/>
  <c r="K109" s="1"/>
  <c r="I107"/>
  <c r="K107" s="1"/>
  <c r="I105"/>
  <c r="K105" s="1"/>
  <c r="I103"/>
  <c r="K103" s="1"/>
  <c r="I101"/>
  <c r="K101" s="1"/>
  <c r="I141"/>
  <c r="K141" s="1"/>
  <c r="I139"/>
  <c r="K139" s="1"/>
  <c r="I137"/>
  <c r="K137" s="1"/>
  <c r="I135"/>
  <c r="K135" s="1"/>
  <c r="I133"/>
  <c r="K133" s="1"/>
  <c r="I131"/>
  <c r="K131" s="1"/>
  <c r="I129"/>
  <c r="K129" s="1"/>
  <c r="I127"/>
  <c r="K127" s="1"/>
  <c r="I125"/>
  <c r="K125" s="1"/>
  <c r="I123"/>
  <c r="K123" s="1"/>
  <c r="I121"/>
  <c r="K121" s="1"/>
  <c r="I119"/>
  <c r="K119" s="1"/>
  <c r="I117"/>
  <c r="K117" s="1"/>
  <c r="M4" i="12"/>
  <c r="Q4" s="1"/>
  <c r="M5"/>
  <c r="S5" s="1"/>
  <c r="M6"/>
  <c r="Q6" s="1"/>
  <c r="M7"/>
  <c r="S7" s="1"/>
  <c r="M8"/>
  <c r="Q8" s="1"/>
  <c r="M9"/>
  <c r="S9" s="1"/>
  <c r="M10"/>
  <c r="Q10" s="1"/>
  <c r="M11"/>
  <c r="S11" s="1"/>
  <c r="M12"/>
  <c r="Q12" s="1"/>
  <c r="M13"/>
  <c r="S13" s="1"/>
  <c r="M14"/>
  <c r="Q14" s="1"/>
  <c r="M15"/>
  <c r="S15" s="1"/>
  <c r="M16"/>
  <c r="Q16" s="1"/>
  <c r="M17"/>
  <c r="S17" s="1"/>
  <c r="M18"/>
  <c r="Q18" s="1"/>
  <c r="M19"/>
  <c r="S19" s="1"/>
  <c r="M20"/>
  <c r="Q20" s="1"/>
  <c r="M21"/>
  <c r="S21" s="1"/>
  <c r="M22"/>
  <c r="Q22" s="1"/>
  <c r="M23"/>
  <c r="S23" s="1"/>
  <c r="M24"/>
  <c r="Q24" s="1"/>
  <c r="M25"/>
  <c r="S25" s="1"/>
  <c r="M26"/>
  <c r="Q26" s="1"/>
  <c r="M27"/>
  <c r="S27" s="1"/>
  <c r="M28"/>
  <c r="Q28" s="1"/>
  <c r="M29"/>
  <c r="S29" s="1"/>
  <c r="M30"/>
  <c r="Q30" s="1"/>
  <c r="M31"/>
  <c r="S31" s="1"/>
  <c r="M32"/>
  <c r="Q32" s="1"/>
  <c r="M33"/>
  <c r="S33" s="1"/>
  <c r="M34"/>
  <c r="Q34" s="1"/>
  <c r="M35"/>
  <c r="S35" s="1"/>
  <c r="M36"/>
  <c r="Q36" s="1"/>
  <c r="M37"/>
  <c r="S37" s="1"/>
  <c r="M38"/>
  <c r="Q38" s="1"/>
  <c r="M39"/>
  <c r="S39" s="1"/>
  <c r="M40"/>
  <c r="Q40" s="1"/>
  <c r="M41"/>
  <c r="S41" s="1"/>
  <c r="M42"/>
  <c r="Q42" s="1"/>
  <c r="M43"/>
  <c r="S43" s="1"/>
  <c r="M44"/>
  <c r="Q44" s="1"/>
  <c r="M45"/>
  <c r="S45" s="1"/>
  <c r="M46"/>
  <c r="Q46" s="1"/>
  <c r="M47"/>
  <c r="S47" s="1"/>
  <c r="M48"/>
  <c r="Q48" s="1"/>
  <c r="M49"/>
  <c r="S49" s="1"/>
  <c r="M50"/>
  <c r="Q50" s="1"/>
  <c r="M51"/>
  <c r="S51" s="1"/>
  <c r="M52"/>
  <c r="Q52" s="1"/>
  <c r="M53"/>
  <c r="S53" s="1"/>
  <c r="M54"/>
  <c r="Q54" s="1"/>
  <c r="M55"/>
  <c r="S55" s="1"/>
  <c r="M56"/>
  <c r="Q56" s="1"/>
  <c r="M57"/>
  <c r="S57" s="1"/>
  <c r="M58"/>
  <c r="Q58" s="1"/>
  <c r="M59"/>
  <c r="S59" s="1"/>
  <c r="M60"/>
  <c r="Q60" s="1"/>
  <c r="M61"/>
  <c r="S61" s="1"/>
  <c r="M62"/>
  <c r="Q62" s="1"/>
  <c r="M63"/>
  <c r="S63" s="1"/>
  <c r="M64"/>
  <c r="Q64" s="1"/>
  <c r="M65"/>
  <c r="S65" s="1"/>
  <c r="M66"/>
  <c r="Q66" s="1"/>
  <c r="M67"/>
  <c r="S67" s="1"/>
  <c r="M68"/>
  <c r="Q68" s="1"/>
  <c r="M69"/>
  <c r="S69" s="1"/>
  <c r="M70"/>
  <c r="Q70" s="1"/>
  <c r="M71"/>
  <c r="S71" s="1"/>
  <c r="M72"/>
  <c r="Q72" s="1"/>
  <c r="M73"/>
  <c r="S73" s="1"/>
  <c r="M74"/>
  <c r="Q74" s="1"/>
  <c r="M75"/>
  <c r="S75" s="1"/>
  <c r="M76"/>
  <c r="Q76" s="1"/>
  <c r="M77"/>
  <c r="S77" s="1"/>
  <c r="M78"/>
  <c r="Q78" s="1"/>
  <c r="M79"/>
  <c r="S79" s="1"/>
  <c r="M80"/>
  <c r="Q80" s="1"/>
  <c r="M81"/>
  <c r="S81" s="1"/>
  <c r="M82"/>
  <c r="Q82" s="1"/>
  <c r="M83"/>
  <c r="S83" s="1"/>
  <c r="M84"/>
  <c r="Q84" s="1"/>
  <c r="M85"/>
  <c r="S85" s="1"/>
  <c r="M86"/>
  <c r="Q86" s="1"/>
  <c r="M87"/>
  <c r="S87" s="1"/>
  <c r="M88"/>
  <c r="Q88" s="1"/>
  <c r="M89"/>
  <c r="S89" s="1"/>
  <c r="M90"/>
  <c r="Q90" s="1"/>
  <c r="M91"/>
  <c r="S91" s="1"/>
  <c r="M92"/>
  <c r="Q92" s="1"/>
  <c r="M93"/>
  <c r="S93" s="1"/>
  <c r="M94"/>
  <c r="Q94" s="1"/>
  <c r="M95"/>
  <c r="S95" s="1"/>
  <c r="M96"/>
  <c r="Q96" s="1"/>
  <c r="M97"/>
  <c r="S97" s="1"/>
  <c r="M98"/>
  <c r="Q98" s="1"/>
  <c r="M99"/>
  <c r="S99" s="1"/>
  <c r="M100"/>
  <c r="Q100" s="1"/>
  <c r="M101"/>
  <c r="S101" s="1"/>
  <c r="M102"/>
  <c r="Q102" s="1"/>
  <c r="M103"/>
  <c r="S103" s="1"/>
  <c r="M104"/>
  <c r="Q104" s="1"/>
  <c r="M105"/>
  <c r="S105" s="1"/>
  <c r="M106"/>
  <c r="Q106" s="1"/>
  <c r="M107"/>
  <c r="S107" s="1"/>
  <c r="M108"/>
  <c r="Q108" s="1"/>
  <c r="M109"/>
  <c r="S109" s="1"/>
  <c r="M110"/>
  <c r="Q110" s="1"/>
  <c r="M111"/>
  <c r="S111" s="1"/>
  <c r="M112"/>
  <c r="Q112" s="1"/>
  <c r="M113"/>
  <c r="S113" s="1"/>
  <c r="M114"/>
  <c r="Q114" s="1"/>
  <c r="M115"/>
  <c r="S115" s="1"/>
  <c r="M116"/>
  <c r="Q116" s="1"/>
  <c r="M117"/>
  <c r="S117" s="1"/>
  <c r="M118"/>
  <c r="Q118" s="1"/>
  <c r="M119"/>
  <c r="S119" s="1"/>
  <c r="M120"/>
  <c r="Q120" s="1"/>
  <c r="M121"/>
  <c r="S121" s="1"/>
  <c r="M122"/>
  <c r="Q122" s="1"/>
  <c r="M123"/>
  <c r="S123" s="1"/>
  <c r="M124"/>
  <c r="Q124" s="1"/>
  <c r="M125"/>
  <c r="S125" s="1"/>
  <c r="M126"/>
  <c r="Q126" s="1"/>
  <c r="M127"/>
  <c r="S127" s="1"/>
  <c r="M128"/>
  <c r="Q128" s="1"/>
  <c r="M129"/>
  <c r="S129" s="1"/>
  <c r="M130"/>
  <c r="Q130" s="1"/>
  <c r="M131"/>
  <c r="S131" s="1"/>
  <c r="M132"/>
  <c r="Q132" s="1"/>
  <c r="M133"/>
  <c r="S133" s="1"/>
  <c r="M134"/>
  <c r="Q134" s="1"/>
  <c r="M135"/>
  <c r="S135" s="1"/>
  <c r="M136"/>
  <c r="Q136" s="1"/>
  <c r="M137"/>
  <c r="S137" s="1"/>
  <c r="M138"/>
  <c r="Q138" s="1"/>
  <c r="M139"/>
  <c r="S139" s="1"/>
  <c r="M140"/>
  <c r="Q140" s="1"/>
  <c r="M141"/>
  <c r="S141" s="1"/>
  <c r="M142"/>
  <c r="Q142" s="1"/>
  <c r="M3"/>
  <c r="Q3" s="1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3"/>
  <c r="S3" l="1"/>
  <c r="Q141"/>
  <c r="Q139"/>
  <c r="Q137"/>
  <c r="Q135"/>
  <c r="Q133"/>
  <c r="Q131"/>
  <c r="Q129"/>
  <c r="Q127"/>
  <c r="Q125"/>
  <c r="Q123"/>
  <c r="Q121"/>
  <c r="Q119"/>
  <c r="Q117"/>
  <c r="Q115"/>
  <c r="Q113"/>
  <c r="Q111"/>
  <c r="Q109"/>
  <c r="Q107"/>
  <c r="Q105"/>
  <c r="Q103"/>
  <c r="Q101"/>
  <c r="Q99"/>
  <c r="Q97"/>
  <c r="Q95"/>
  <c r="Q93"/>
  <c r="Q91"/>
  <c r="Q89"/>
  <c r="Q87"/>
  <c r="Q85"/>
  <c r="Q83"/>
  <c r="Q81"/>
  <c r="Q79"/>
  <c r="Q77"/>
  <c r="Q75"/>
  <c r="Q73"/>
  <c r="Q71"/>
  <c r="Q69"/>
  <c r="Q67"/>
  <c r="Q65"/>
  <c r="Q63"/>
  <c r="Q61"/>
  <c r="Q59"/>
  <c r="Q57"/>
  <c r="Q55"/>
  <c r="Q53"/>
  <c r="Q51"/>
  <c r="Q49"/>
  <c r="Q47"/>
  <c r="Q45"/>
  <c r="Q43"/>
  <c r="Q41"/>
  <c r="Q39"/>
  <c r="Q37"/>
  <c r="Q35"/>
  <c r="Q33"/>
  <c r="Q31"/>
  <c r="Q29"/>
  <c r="Q27"/>
  <c r="Q25"/>
  <c r="Q23"/>
  <c r="Q21"/>
  <c r="Q19"/>
  <c r="Q17"/>
  <c r="Q15"/>
  <c r="Q13"/>
  <c r="Q11"/>
  <c r="Q9"/>
  <c r="Q7"/>
  <c r="Q5"/>
  <c r="S142"/>
  <c r="S140"/>
  <c r="S138"/>
  <c r="S136"/>
  <c r="S134"/>
  <c r="S132"/>
  <c r="S130"/>
  <c r="S128"/>
  <c r="S126"/>
  <c r="S124"/>
  <c r="S122"/>
  <c r="S120"/>
  <c r="S118"/>
  <c r="S116"/>
  <c r="S114"/>
  <c r="S112"/>
  <c r="S110"/>
  <c r="S108"/>
  <c r="S106"/>
  <c r="S104"/>
  <c r="S102"/>
  <c r="S100"/>
  <c r="S98"/>
  <c r="S96"/>
  <c r="S94"/>
  <c r="S92"/>
  <c r="S90"/>
  <c r="S88"/>
  <c r="S86"/>
  <c r="S84"/>
  <c r="S82"/>
  <c r="S80"/>
  <c r="S78"/>
  <c r="S76"/>
  <c r="S74"/>
  <c r="S72"/>
  <c r="S70"/>
  <c r="S68"/>
  <c r="S66"/>
  <c r="S64"/>
  <c r="S62"/>
  <c r="S60"/>
  <c r="S58"/>
  <c r="S56"/>
  <c r="S54"/>
  <c r="S52"/>
  <c r="S50"/>
  <c r="S48"/>
  <c r="S46"/>
  <c r="S44"/>
  <c r="S42"/>
  <c r="S40"/>
  <c r="S38"/>
  <c r="S36"/>
  <c r="S34"/>
  <c r="S32"/>
  <c r="S30"/>
  <c r="S28"/>
  <c r="S26"/>
  <c r="S24"/>
  <c r="S22"/>
  <c r="S20"/>
  <c r="S18"/>
  <c r="S16"/>
  <c r="S14"/>
  <c r="S12"/>
  <c r="S10"/>
  <c r="S8"/>
  <c r="S6"/>
  <c r="S4"/>
</calcChain>
</file>

<file path=xl/sharedStrings.xml><?xml version="1.0" encoding="utf-8"?>
<sst xmlns="http://schemas.openxmlformats.org/spreadsheetml/2006/main" count="441" uniqueCount="224">
  <si>
    <t>DA</t>
    <phoneticPr fontId="2" type="noConversion"/>
  </si>
  <si>
    <t>WB</t>
    <phoneticPr fontId="2" type="noConversion"/>
  </si>
  <si>
    <t>Material</t>
  </si>
  <si>
    <t>QDBGA12*16</t>
  </si>
  <si>
    <t>54-82-06175-002G</t>
  </si>
  <si>
    <t>BGA 13X11.5</t>
  </si>
  <si>
    <t>54-82-06439-002G</t>
  </si>
  <si>
    <t>BGA12*16</t>
  </si>
  <si>
    <t>DDBGA12*16</t>
  </si>
  <si>
    <t>54-82-07407-008G</t>
  </si>
  <si>
    <t>4DLGA 14X18</t>
  </si>
  <si>
    <t>LGA11X15</t>
  </si>
  <si>
    <t>DDLGA11X15</t>
  </si>
  <si>
    <t>54-82-05056-032G</t>
  </si>
  <si>
    <t>54-82-05056-064G</t>
  </si>
  <si>
    <t>8D LGA 14X18</t>
  </si>
  <si>
    <t>2DLGA21.35X10.1</t>
  </si>
  <si>
    <t>2DLGA21.35X13.98</t>
  </si>
  <si>
    <t>4DLGA21.35X13.98</t>
  </si>
  <si>
    <t>LGA21.35X10.1</t>
  </si>
  <si>
    <t>8DLGA21.35X13.98</t>
  </si>
  <si>
    <t>54-82-08547-032G</t>
  </si>
  <si>
    <t>54-82-08707-032G</t>
  </si>
  <si>
    <t>54-82-08707-008G</t>
  </si>
  <si>
    <t>54-82-05070-016G</t>
  </si>
  <si>
    <t>MC qty</t>
    <phoneticPr fontId="2" type="noConversion"/>
  </si>
  <si>
    <t>DA</t>
    <phoneticPr fontId="2" type="noConversion"/>
  </si>
  <si>
    <t>WB</t>
    <phoneticPr fontId="2" type="noConversion"/>
  </si>
  <si>
    <t>Sub-lot</t>
    <phoneticPr fontId="2" type="noConversion"/>
  </si>
  <si>
    <t>FE production flow</t>
    <phoneticPr fontId="2" type="noConversion"/>
  </si>
  <si>
    <t>Station</t>
    <phoneticPr fontId="2" type="noConversion"/>
  </si>
  <si>
    <t>Batch size</t>
    <phoneticPr fontId="2" type="noConversion"/>
  </si>
  <si>
    <t>Production flow&amp;logic</t>
    <phoneticPr fontId="2" type="noConversion"/>
  </si>
  <si>
    <t>Assume the yield is all 100%</t>
    <phoneticPr fontId="2" type="noConversion"/>
  </si>
  <si>
    <t>Operator qty</t>
    <phoneticPr fontId="2" type="noConversion"/>
  </si>
  <si>
    <t>1/6</t>
    <phoneticPr fontId="2" type="noConversion"/>
  </si>
  <si>
    <t>1/12</t>
    <phoneticPr fontId="2" type="noConversion"/>
  </si>
  <si>
    <t>DA</t>
  </si>
  <si>
    <t>WB</t>
  </si>
  <si>
    <t>Sub-lot batch size</t>
  </si>
  <si>
    <t>54-82-07010-002G</t>
  </si>
  <si>
    <t>54-82-06601-004G</t>
  </si>
  <si>
    <t>54-82-08178-004G</t>
  </si>
  <si>
    <t>54-82-08547-016G</t>
  </si>
  <si>
    <t>54-82-08213-004G</t>
  </si>
  <si>
    <t>54-82-06646-008G</t>
  </si>
  <si>
    <t>Remark</t>
    <phoneticPr fontId="2" type="noConversion"/>
  </si>
  <si>
    <t xml:space="preserve">Simulate the actual production flow </t>
    <phoneticPr fontId="2" type="noConversion"/>
  </si>
  <si>
    <t>Main purpose in this demo:</t>
    <phoneticPr fontId="2" type="noConversion"/>
  </si>
  <si>
    <t>Batch size at each station are defined as below:</t>
    <phoneticPr fontId="2" type="noConversion"/>
  </si>
  <si>
    <t>1 Sub-lot on 1 set machine</t>
    <phoneticPr fontId="2" type="noConversion"/>
  </si>
  <si>
    <t>Machine allocation</t>
    <phoneticPr fontId="2" type="noConversion"/>
  </si>
  <si>
    <t>Man/Machine rate</t>
    <phoneticPr fontId="2" type="noConversion"/>
  </si>
  <si>
    <t>MC Utilization</t>
    <phoneticPr fontId="2" type="noConversion"/>
  </si>
  <si>
    <t>If there are free machines, choose the nearest machine</t>
    <phoneticPr fontId="2" type="noConversion"/>
  </si>
  <si>
    <t>Demo scope:</t>
    <phoneticPr fontId="2" type="noConversion"/>
  </si>
  <si>
    <t>Analyse the throughput/WIP/cycle time/machine utilization/bottleneck</t>
    <phoneticPr fontId="2" type="noConversion"/>
  </si>
  <si>
    <t>All the PNs require DA&amp;WB process</t>
    <phoneticPr fontId="2" type="noConversion"/>
  </si>
  <si>
    <t>After DA  finished, the batch should be transferred to WB follow below rules:</t>
    <phoneticPr fontId="2" type="noConversion"/>
  </si>
  <si>
    <t xml:space="preserve">FIFO </t>
    <phoneticPr fontId="2" type="noConversion"/>
  </si>
  <si>
    <t xml:space="preserve">Simulate the machine and operator utilization </t>
    <phoneticPr fontId="2" type="noConversion"/>
  </si>
  <si>
    <t>Run the demo for 7 days</t>
    <phoneticPr fontId="2" type="noConversion"/>
  </si>
  <si>
    <t>Sub-lot in</t>
    <phoneticPr fontId="2" type="noConversion"/>
  </si>
  <si>
    <t>Sub-lot out</t>
    <phoneticPr fontId="2" type="noConversion"/>
  </si>
  <si>
    <t>DA</t>
    <phoneticPr fontId="2" type="noConversion"/>
  </si>
  <si>
    <t>WB</t>
    <phoneticPr fontId="2" type="noConversion"/>
  </si>
  <si>
    <t>Need change over when PN change</t>
    <phoneticPr fontId="2" type="noConversion"/>
  </si>
  <si>
    <t>MTTR-Operator</t>
    <phoneticPr fontId="2" type="noConversion"/>
  </si>
  <si>
    <t>MTTR--Technician</t>
    <phoneticPr fontId="2" type="noConversion"/>
  </si>
  <si>
    <t>Order Number</t>
  </si>
  <si>
    <t xml:space="preserve">   Order Qty</t>
  </si>
  <si>
    <t>Basic Start Date/STO Created Date</t>
  </si>
  <si>
    <t>Basic End Date/STO Goods Issue Date</t>
  </si>
  <si>
    <t>54-82-05049-008G</t>
  </si>
  <si>
    <t>DDBGA16X20</t>
  </si>
  <si>
    <t>54-82-06145-004G</t>
  </si>
  <si>
    <t>54-82-06145-016G</t>
  </si>
  <si>
    <t>54-82-06201-004G</t>
  </si>
  <si>
    <t>BGA11.5X13</t>
  </si>
  <si>
    <t>54-82-06476-004G</t>
  </si>
  <si>
    <t>54-82-07028-064G</t>
  </si>
  <si>
    <t>54-82-07350-004G</t>
  </si>
  <si>
    <t>54-82-07350-016G</t>
  </si>
  <si>
    <t>54-82-07407-016G</t>
  </si>
  <si>
    <t>54-82-08706-032G</t>
  </si>
  <si>
    <t>LGA15X10</t>
  </si>
  <si>
    <t>QDBGA16X20</t>
  </si>
  <si>
    <t>LGA15X18</t>
  </si>
  <si>
    <t>LGA21.35X13.98</t>
  </si>
  <si>
    <t>DDLGA15X18</t>
  </si>
  <si>
    <t>54-82-07808-002G</t>
  </si>
  <si>
    <t>54-82-08505-016G</t>
  </si>
  <si>
    <t>54-82-08206-016G</t>
  </si>
  <si>
    <t>54-82-08301-016G</t>
  </si>
  <si>
    <t>54-82-08191-004G</t>
  </si>
  <si>
    <t>54-82-08562-002G</t>
  </si>
  <si>
    <t>54-82-08650-008G</t>
  </si>
  <si>
    <t>54-82-04547-002G</t>
  </si>
  <si>
    <t>54-82-05060-016G</t>
  </si>
  <si>
    <t>54-82-05098-016G</t>
  </si>
  <si>
    <t>54-82-07011-004G</t>
  </si>
  <si>
    <t>54-82-08137-002G</t>
  </si>
  <si>
    <t>54-82-08213-008G</t>
  </si>
  <si>
    <t>54-82-08267-008G</t>
  </si>
  <si>
    <t>54-82-08356-004G</t>
  </si>
  <si>
    <t>54-82-08356-016G</t>
  </si>
  <si>
    <t>54-82-08547-008G</t>
  </si>
  <si>
    <t>pkg</t>
  </si>
  <si>
    <t>die</t>
  </si>
  <si>
    <t>54-82-05081-016G</t>
  </si>
  <si>
    <t>2DLGA 14X18</t>
  </si>
  <si>
    <t>54-82-05091-032G</t>
  </si>
  <si>
    <t>54-82-05102-008G</t>
  </si>
  <si>
    <t>54-82-05105-016G</t>
  </si>
  <si>
    <t>2DBGA 14X18MM</t>
  </si>
  <si>
    <t>54-82-06184-004G</t>
  </si>
  <si>
    <t>54-82-06201-004GE</t>
  </si>
  <si>
    <t>54-82-06413-016GE</t>
  </si>
  <si>
    <t>54-82-06441-002G</t>
  </si>
  <si>
    <t>54-82-07008-032G</t>
  </si>
  <si>
    <t>8DBGA 12X18MM</t>
  </si>
  <si>
    <t>54-82-08211-064G</t>
  </si>
  <si>
    <t>8DLGA21.35X10.1</t>
  </si>
  <si>
    <t>54-82-08087-008G</t>
  </si>
  <si>
    <t>54-82-08141-008G</t>
  </si>
  <si>
    <t>54-82-08301-008G</t>
  </si>
  <si>
    <t>54-82-08166-004G</t>
  </si>
  <si>
    <t>54-82-08104-004G</t>
  </si>
  <si>
    <t>54-82-08267-016G</t>
  </si>
  <si>
    <t>54-82-08795-004G</t>
  </si>
  <si>
    <t>54-82-08917-016G</t>
  </si>
  <si>
    <t>54-82-08948-004G</t>
  </si>
  <si>
    <t>54-82-06534-002G</t>
    <phoneticPr fontId="2" type="noConversion"/>
  </si>
  <si>
    <t>54-82-08254-004G</t>
    <phoneticPr fontId="2" type="noConversion"/>
  </si>
  <si>
    <t>54-82-08890-016G</t>
    <phoneticPr fontId="2" type="noConversion"/>
  </si>
  <si>
    <t>Operator can do sample check at any time when lot finished</t>
    <phoneticPr fontId="2" type="noConversion"/>
  </si>
  <si>
    <t>Machine status</t>
    <phoneticPr fontId="2" type="noConversion"/>
  </si>
  <si>
    <t>Remark</t>
    <phoneticPr fontId="2" type="noConversion"/>
  </si>
  <si>
    <t>Operator status</t>
    <phoneticPr fontId="2" type="noConversion"/>
  </si>
  <si>
    <t>Busy</t>
    <phoneticPr fontId="2" type="noConversion"/>
  </si>
  <si>
    <t>Down</t>
    <phoneticPr fontId="2" type="noConversion"/>
  </si>
  <si>
    <t>Run</t>
    <phoneticPr fontId="2" type="noConversion"/>
  </si>
  <si>
    <t>Conversion</t>
    <phoneticPr fontId="2" type="noConversion"/>
  </si>
  <si>
    <t>DA&amp;WB</t>
    <phoneticPr fontId="2" type="noConversion"/>
  </si>
  <si>
    <t>Station:</t>
    <phoneticPr fontId="2" type="noConversion"/>
  </si>
  <si>
    <t>Object:</t>
    <phoneticPr fontId="2" type="noConversion"/>
  </si>
  <si>
    <t>Machine and Operator who directly handle the machine, not consider the job of dedicated material handler and technician or others</t>
    <phoneticPr fontId="2" type="noConversion"/>
  </si>
  <si>
    <t>-Throughput(Sublot&amp;unit) per day by station</t>
    <phoneticPr fontId="2" type="noConversion"/>
  </si>
  <si>
    <t>-Bottleneck station</t>
    <phoneticPr fontId="2" type="noConversion"/>
  </si>
  <si>
    <t>Sub-lot qty is M-lot batch size divided by sub-lot batch size, if the residual unit qty is less than 1 magazine batch size combine it to the last sub-lot, otherwize dispose it as a separate sub-lot</t>
    <phoneticPr fontId="2" type="noConversion"/>
  </si>
  <si>
    <t xml:space="preserve">Machine </t>
    <phoneticPr fontId="2" type="noConversion"/>
  </si>
  <si>
    <t>Busy</t>
    <phoneticPr fontId="2" type="noConversion"/>
  </si>
  <si>
    <t>free</t>
    <phoneticPr fontId="2" type="noConversion"/>
  </si>
  <si>
    <t>Remark</t>
    <phoneticPr fontId="2" type="noConversion"/>
  </si>
  <si>
    <t>Run</t>
    <phoneticPr fontId="2" type="noConversion"/>
  </si>
  <si>
    <t>Conversion</t>
    <phoneticPr fontId="2" type="noConversion"/>
  </si>
  <si>
    <t>Down</t>
    <phoneticPr fontId="2" type="noConversion"/>
  </si>
  <si>
    <t xml:space="preserve">Machine </t>
    <phoneticPr fontId="2" type="noConversion"/>
  </si>
  <si>
    <t>Operator</t>
    <phoneticPr fontId="2" type="noConversion"/>
  </si>
  <si>
    <t>Change over</t>
  </si>
  <si>
    <t>Change over</t>
    <phoneticPr fontId="2" type="noConversion"/>
  </si>
  <si>
    <t>MTBF-Operator</t>
    <phoneticPr fontId="2" type="noConversion"/>
  </si>
  <si>
    <t>MTBF-Technician</t>
    <phoneticPr fontId="2" type="noConversion"/>
  </si>
  <si>
    <t>MTTR-Operator/Technician</t>
    <phoneticPr fontId="2" type="noConversion"/>
  </si>
  <si>
    <t>Idle</t>
    <phoneticPr fontId="2" type="noConversion"/>
  </si>
  <si>
    <t>Operator regular job and Machine conversion/down time</t>
    <phoneticPr fontId="2" type="noConversion"/>
  </si>
  <si>
    <t>Operator regular job</t>
    <phoneticPr fontId="2" type="noConversion"/>
  </si>
  <si>
    <t>Scenario 1</t>
    <phoneticPr fontId="2" type="noConversion"/>
  </si>
  <si>
    <t>Scenario 2</t>
    <phoneticPr fontId="2" type="noConversion"/>
  </si>
  <si>
    <t>Good die</t>
    <phoneticPr fontId="2" type="noConversion"/>
  </si>
  <si>
    <t>Unit/strip</t>
    <phoneticPr fontId="2" type="noConversion"/>
  </si>
  <si>
    <t>Strip/magazine</t>
    <phoneticPr fontId="2" type="noConversion"/>
  </si>
  <si>
    <t>M-Lot batch size</t>
    <phoneticPr fontId="2" type="noConversion"/>
  </si>
  <si>
    <t>Magazine batch size</t>
    <phoneticPr fontId="2" type="noConversion"/>
  </si>
  <si>
    <t>Magazine/
sub-lot</t>
    <phoneticPr fontId="2" type="noConversion"/>
  </si>
  <si>
    <t>The operator&amp;machine status is defined as follow:</t>
    <phoneticPr fontId="2" type="noConversion"/>
  </si>
  <si>
    <t>Output requirement</t>
    <phoneticPr fontId="2" type="noConversion"/>
  </si>
  <si>
    <t>-Sublot cycle time by PN(include overall cycle time and every single sublot cycle time)</t>
    <phoneticPr fontId="2" type="noConversion"/>
  </si>
  <si>
    <t>-Operator work effeciency(daily and overall)</t>
    <phoneticPr fontId="2" type="noConversion"/>
  </si>
  <si>
    <t>-Machine utilization by station(daily and overall)</t>
    <phoneticPr fontId="2" type="noConversion"/>
  </si>
  <si>
    <t>-WIP daily status (by each end of day)</t>
    <phoneticPr fontId="2" type="noConversion"/>
  </si>
  <si>
    <r>
      <t xml:space="preserve">Continuously load this 140 work orders according to the start day and natural sequence, can combine the same </t>
    </r>
    <r>
      <rPr>
        <sz val="11"/>
        <color rgb="FFFF0000"/>
        <rFont val="Calibri"/>
        <family val="2"/>
      </rPr>
      <t>PN</t>
    </r>
    <r>
      <rPr>
        <sz val="11"/>
        <color theme="1"/>
        <rFont val="Calibri"/>
        <family val="2"/>
      </rPr>
      <t>'s work order that with same start day</t>
    </r>
    <phoneticPr fontId="2" type="noConversion"/>
  </si>
  <si>
    <r>
      <t xml:space="preserve">Assume all material are provided by dedicated material handler in time at the beginning </t>
    </r>
    <r>
      <rPr>
        <sz val="11"/>
        <color rgb="FFFF0000"/>
        <rFont val="Calibri"/>
        <family val="2"/>
      </rPr>
      <t>if</t>
    </r>
    <r>
      <rPr>
        <sz val="11"/>
        <color theme="1"/>
        <rFont val="Calibri"/>
        <family val="2"/>
      </rPr>
      <t xml:space="preserve"> DA, the WIP </t>
    </r>
    <r>
      <rPr>
        <sz val="11"/>
        <color rgb="FFFF0000"/>
        <rFont val="Calibri"/>
        <family val="2"/>
      </rPr>
      <t>chansfer</t>
    </r>
    <r>
      <rPr>
        <sz val="11"/>
        <color theme="1"/>
        <rFont val="Calibri"/>
        <family val="2"/>
      </rPr>
      <t xml:space="preserve"> between DA&amp;WB is handled by material handler too.</t>
    </r>
    <phoneticPr fontId="2" type="noConversion"/>
  </si>
  <si>
    <r>
      <t xml:space="preserve">1 magazine on 1 </t>
    </r>
    <r>
      <rPr>
        <sz val="11"/>
        <color rgb="FFFF0000"/>
        <rFont val="Calibri"/>
        <family val="2"/>
      </rPr>
      <t>set</t>
    </r>
    <r>
      <rPr>
        <sz val="11"/>
        <color theme="1"/>
        <rFont val="Calibri"/>
        <family val="2"/>
      </rPr>
      <t xml:space="preserve"> machine</t>
    </r>
    <phoneticPr fontId="2" type="noConversion"/>
  </si>
  <si>
    <t>relationship among M-lot,sub-lot,magazine,strip,die,unit</t>
    <phoneticPr fontId="2" type="noConversion"/>
  </si>
  <si>
    <t>日期何用？</t>
    <phoneticPr fontId="2" type="noConversion"/>
  </si>
  <si>
    <t>how to transfer? In batch or individual?</t>
    <phoneticPr fontId="2" type="noConversion"/>
  </si>
  <si>
    <t>Does holding at DA affect the next order/production?</t>
    <phoneticPr fontId="2" type="noConversion"/>
  </si>
  <si>
    <t>don't consider scraping?</t>
    <phoneticPr fontId="2" type="noConversion"/>
  </si>
  <si>
    <r>
      <rPr>
        <sz val="11"/>
        <color rgb="FFFF0000"/>
        <rFont val="宋体"/>
        <family val="3"/>
        <charset val="134"/>
      </rPr>
      <t>生产是连续的？还是下班时间就停机？</t>
    </r>
    <phoneticPr fontId="2" type="noConversion"/>
  </si>
  <si>
    <r>
      <rPr>
        <sz val="11"/>
        <color rgb="FFFF0000"/>
        <rFont val="宋体"/>
        <family val="3"/>
        <charset val="134"/>
      </rPr>
      <t>工作量的问题，无法实现每台机器的状态统计</t>
    </r>
    <phoneticPr fontId="2" type="noConversion"/>
  </si>
  <si>
    <r>
      <rPr>
        <sz val="11"/>
        <color rgb="FFFF0000"/>
        <rFont val="宋体"/>
        <family val="3"/>
        <charset val="134"/>
      </rPr>
      <t>？</t>
    </r>
    <phoneticPr fontId="2" type="noConversion"/>
  </si>
  <si>
    <r>
      <rPr>
        <sz val="11"/>
        <color rgb="FFFF0000"/>
        <rFont val="宋体"/>
        <family val="3"/>
        <charset val="134"/>
      </rPr>
      <t>工作负荷？</t>
    </r>
    <phoneticPr fontId="2" type="noConversion"/>
  </si>
  <si>
    <t>If there is no free machine,hold the batch at DA</t>
    <phoneticPr fontId="2" type="noConversion"/>
  </si>
  <si>
    <r>
      <t>Regular job+</t>
    </r>
    <r>
      <rPr>
        <sz val="11"/>
        <color rgb="FFFF0000"/>
        <rFont val="Calibri"/>
        <family val="2"/>
      </rPr>
      <t>MTTR-Operator</t>
    </r>
    <phoneticPr fontId="2" type="noConversion"/>
  </si>
  <si>
    <t>sublot</t>
    <phoneticPr fontId="2" type="noConversion"/>
  </si>
  <si>
    <r>
      <t xml:space="preserve">each mechaine </t>
    </r>
    <r>
      <rPr>
        <sz val="11"/>
        <color rgb="FF0070C0"/>
        <rFont val="宋体"/>
        <family val="3"/>
        <charset val="134"/>
      </rPr>
      <t>一个台车，不影响本台机器继续加工</t>
    </r>
    <phoneticPr fontId="2" type="noConversion"/>
  </si>
  <si>
    <t>不考虑</t>
    <phoneticPr fontId="2" type="noConversion"/>
  </si>
  <si>
    <t>订单数量</t>
    <phoneticPr fontId="2" type="noConversion"/>
  </si>
  <si>
    <t>每个wafer上的可用die的数量</t>
    <phoneticPr fontId="2" type="noConversion"/>
  </si>
  <si>
    <r>
      <t>25</t>
    </r>
    <r>
      <rPr>
        <b/>
        <sz val="11"/>
        <color rgb="FF0070C0"/>
        <rFont val="宋体"/>
        <family val="3"/>
        <charset val="134"/>
      </rPr>
      <t>片</t>
    </r>
    <r>
      <rPr>
        <b/>
        <sz val="11"/>
        <color rgb="FF0070C0"/>
        <rFont val="Calibri"/>
        <family val="2"/>
      </rPr>
      <t>wafer</t>
    </r>
    <r>
      <rPr>
        <b/>
        <sz val="11"/>
        <color rgb="FF0070C0"/>
        <rFont val="宋体"/>
        <family val="3"/>
        <charset val="134"/>
      </rPr>
      <t>是一个</t>
    </r>
    <r>
      <rPr>
        <b/>
        <sz val="11"/>
        <color rgb="FF0070C0"/>
        <rFont val="Calibri"/>
        <family val="2"/>
      </rPr>
      <t>Mother-lot</t>
    </r>
    <phoneticPr fontId="2" type="noConversion"/>
  </si>
  <si>
    <t>Unit/hr</t>
    <phoneticPr fontId="2" type="noConversion"/>
  </si>
  <si>
    <t>每台设备的加工能力Unit/hr</t>
    <phoneticPr fontId="2" type="noConversion"/>
  </si>
  <si>
    <r>
      <t>DA</t>
    </r>
    <r>
      <rPr>
        <sz val="11"/>
        <color theme="1"/>
        <rFont val="宋体"/>
        <family val="3"/>
        <charset val="134"/>
      </rPr>
      <t>环节可能同时加工</t>
    </r>
    <phoneticPr fontId="2" type="noConversion"/>
  </si>
  <si>
    <r>
      <t>MTTR</t>
    </r>
    <r>
      <rPr>
        <sz val="11"/>
        <color theme="1"/>
        <rFont val="宋体"/>
        <family val="3"/>
        <charset val="134"/>
      </rPr>
      <t>－</t>
    </r>
    <r>
      <rPr>
        <sz val="11"/>
        <color theme="1"/>
        <rFont val="Calibri"/>
        <family val="2"/>
      </rPr>
      <t>mean time to repair</t>
    </r>
    <phoneticPr fontId="2" type="noConversion"/>
  </si>
  <si>
    <t>MTBF-mean time between failures</t>
    <phoneticPr fontId="2" type="noConversion"/>
  </si>
  <si>
    <t>minutes</t>
    <phoneticPr fontId="2" type="noConversion"/>
  </si>
  <si>
    <r>
      <rPr>
        <sz val="11"/>
        <color rgb="FF0070C0"/>
        <rFont val="宋体"/>
        <family val="3"/>
        <charset val="134"/>
      </rPr>
      <t>设备之间的距离？</t>
    </r>
    <phoneticPr fontId="2" type="noConversion"/>
  </si>
  <si>
    <t>Sample check/sub lot</t>
    <phoneticPr fontId="2" type="noConversion"/>
  </si>
  <si>
    <t>？</t>
    <phoneticPr fontId="2" type="noConversion"/>
  </si>
  <si>
    <t>9:00-21:00</t>
    <phoneticPr fontId="2" type="noConversion"/>
  </si>
  <si>
    <t>每个班次的人数，工厂分两班运转</t>
    <phoneticPr fontId="2" type="noConversion"/>
  </si>
  <si>
    <r>
      <rPr>
        <sz val="11"/>
        <color rgb="FFFF0000"/>
        <rFont val="宋体"/>
        <family val="3"/>
        <charset val="134"/>
      </rPr>
      <t>不考虑，将行走时间纳入</t>
    </r>
    <r>
      <rPr>
        <sz val="11"/>
        <color rgb="FFFF0000"/>
        <rFont val="Calibri"/>
        <family val="2"/>
      </rPr>
      <t>operator</t>
    </r>
    <r>
      <rPr>
        <sz val="11"/>
        <color rgb="FFFF0000"/>
        <rFont val="宋体"/>
        <family val="3"/>
        <charset val="134"/>
      </rPr>
      <t>的处理时间</t>
    </r>
    <phoneticPr fontId="2" type="noConversion"/>
  </si>
  <si>
    <t>Order Qty</t>
    <phoneticPr fontId="2" type="noConversion"/>
  </si>
  <si>
    <t>Total Strip</t>
    <phoneticPr fontId="2" type="noConversion"/>
  </si>
  <si>
    <t>Unit/Strip</t>
    <phoneticPr fontId="2" type="noConversion"/>
  </si>
  <si>
    <t>Strip/Magazine</t>
    <phoneticPr fontId="2" type="noConversion"/>
  </si>
  <si>
    <t>Units/hr</t>
    <phoneticPr fontId="2" type="noConversion"/>
  </si>
  <si>
    <t>Order Number</t>
    <phoneticPr fontId="2" type="noConversion"/>
  </si>
  <si>
    <t>Hr/Magazine</t>
    <phoneticPr fontId="2" type="noConversion"/>
  </si>
  <si>
    <t>Magazine/Sub-lot</t>
    <phoneticPr fontId="2" type="noConversion"/>
  </si>
  <si>
    <t>Total Mag</t>
    <phoneticPr fontId="2" type="noConversion"/>
  </si>
  <si>
    <t>PN</t>
    <phoneticPr fontId="2" type="noConversion"/>
  </si>
  <si>
    <t>Die</t>
    <phoneticPr fontId="2" type="noConversion"/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</si>
</sst>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76" formatCode="_ * #,##0_ ;_ * \-#,##0_ ;_ * &quot;-&quot;??_ ;_ @_ "/>
    <numFmt numFmtId="177" formatCode="#,##0_);[Red]\(#,##0\)"/>
  </numFmts>
  <fonts count="2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Calibri"/>
      <family val="2"/>
    </font>
    <font>
      <sz val="11"/>
      <color theme="1"/>
      <name val="宋体"/>
      <family val="3"/>
      <charset val="134"/>
    </font>
    <font>
      <sz val="11"/>
      <color rgb="FF0070C0"/>
      <name val="宋体"/>
      <family val="3"/>
      <charset val="134"/>
    </font>
    <font>
      <b/>
      <sz val="11"/>
      <color rgb="FF0070C0"/>
      <name val="宋体"/>
      <family val="3"/>
      <charset val="134"/>
    </font>
    <font>
      <b/>
      <sz val="11"/>
      <color rgb="FF0070C0"/>
      <name val="Calibri"/>
      <family val="2"/>
    </font>
    <font>
      <sz val="11"/>
      <color theme="1"/>
      <name val="Constantia"/>
      <family val="1"/>
    </font>
    <font>
      <sz val="14"/>
      <color theme="1"/>
      <name val="Constantia"/>
      <family val="1"/>
    </font>
    <font>
      <b/>
      <sz val="14"/>
      <color rgb="FF0070C0"/>
      <name val="Aharoni"/>
      <charset val="177"/>
    </font>
    <font>
      <sz val="11"/>
      <color rgb="FF00B0F0"/>
      <name val="Constantia"/>
      <family val="1"/>
    </font>
    <font>
      <sz val="14"/>
      <color rgb="FFFF0000"/>
      <name val="Constantia"/>
      <family val="1"/>
    </font>
    <font>
      <sz val="11"/>
      <name val="Constant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40">
    <xf numFmtId="0" fontId="0" fillId="0" borderId="0" xfId="0"/>
    <xf numFmtId="0" fontId="3" fillId="0" borderId="0" xfId="0" applyFont="1"/>
    <xf numFmtId="0" fontId="3" fillId="0" borderId="1" xfId="0" applyFont="1" applyBorder="1"/>
    <xf numFmtId="9" fontId="3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/>
    <xf numFmtId="0" fontId="6" fillId="0" borderId="0" xfId="0" applyFont="1"/>
    <xf numFmtId="49" fontId="3" fillId="0" borderId="1" xfId="0" applyNumberFormat="1" applyFont="1" applyBorder="1"/>
    <xf numFmtId="0" fontId="3" fillId="0" borderId="0" xfId="0" applyFont="1" applyAlignment="1">
      <alignment horizontal="right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43" fontId="3" fillId="0" borderId="0" xfId="1" applyFont="1" applyAlignment="1"/>
    <xf numFmtId="43" fontId="3" fillId="0" borderId="0" xfId="0" applyNumberFormat="1" applyFont="1"/>
    <xf numFmtId="0" fontId="3" fillId="0" borderId="0" xfId="0" quotePrefix="1" applyFont="1" applyBorder="1"/>
    <xf numFmtId="0" fontId="6" fillId="3" borderId="0" xfId="0" applyFont="1" applyFill="1"/>
    <xf numFmtId="43" fontId="6" fillId="3" borderId="0" xfId="1" applyFont="1" applyFill="1" applyAlignment="1"/>
    <xf numFmtId="3" fontId="6" fillId="2" borderId="1" xfId="0" applyNumberFormat="1" applyFont="1" applyFill="1" applyBorder="1" applyAlignment="1">
      <alignment horizontal="center"/>
    </xf>
    <xf numFmtId="176" fontId="6" fillId="4" borderId="1" xfId="1" applyNumberFormat="1" applyFont="1" applyFill="1" applyBorder="1" applyAlignment="1">
      <alignment horizontal="center" vertical="center" wrapText="1"/>
    </xf>
    <xf numFmtId="176" fontId="6" fillId="4" borderId="1" xfId="1" applyNumberFormat="1" applyFont="1" applyFill="1" applyBorder="1" applyAlignment="1">
      <alignment vertical="center" wrapText="1"/>
    </xf>
    <xf numFmtId="0" fontId="3" fillId="0" borderId="0" xfId="0" quotePrefix="1" applyFont="1"/>
    <xf numFmtId="0" fontId="7" fillId="0" borderId="0" xfId="0" applyFont="1"/>
    <xf numFmtId="0" fontId="7" fillId="0" borderId="1" xfId="0" applyFont="1" applyBorder="1"/>
    <xf numFmtId="177" fontId="6" fillId="3" borderId="0" xfId="0" applyNumberFormat="1" applyFont="1" applyFill="1"/>
    <xf numFmtId="177" fontId="3" fillId="0" borderId="0" xfId="0" applyNumberFormat="1" applyFont="1"/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2" fillId="0" borderId="0" xfId="0" applyFont="1"/>
    <xf numFmtId="177" fontId="13" fillId="0" borderId="0" xfId="0" applyNumberFormat="1" applyFont="1"/>
    <xf numFmtId="0" fontId="14" fillId="0" borderId="0" xfId="0" applyFont="1"/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" fillId="0" borderId="0" xfId="0" applyNumberFormat="1" applyFont="1"/>
    <xf numFmtId="176" fontId="6" fillId="4" borderId="1" xfId="1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7</xdr:row>
      <xdr:rowOff>28575</xdr:rowOff>
    </xdr:from>
    <xdr:to>
      <xdr:col>3</xdr:col>
      <xdr:colOff>295275</xdr:colOff>
      <xdr:row>9</xdr:row>
      <xdr:rowOff>28576</xdr:rowOff>
    </xdr:to>
    <xdr:sp macro="" textlink="">
      <xdr:nvSpPr>
        <xdr:cNvPr id="5" name="Flowchart: Process 4"/>
        <xdr:cNvSpPr/>
      </xdr:nvSpPr>
      <xdr:spPr>
        <a:xfrm>
          <a:off x="1609725" y="1571625"/>
          <a:ext cx="742950" cy="342901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/>
            <a:t>Taping</a:t>
          </a:r>
          <a:endParaRPr lang="zh-CN" altLang="en-US" sz="1100"/>
        </a:p>
      </xdr:txBody>
    </xdr:sp>
    <xdr:clientData/>
  </xdr:twoCellAnchor>
  <xdr:twoCellAnchor>
    <xdr:from>
      <xdr:col>4</xdr:col>
      <xdr:colOff>95250</xdr:colOff>
      <xdr:row>7</xdr:row>
      <xdr:rowOff>28575</xdr:rowOff>
    </xdr:from>
    <xdr:to>
      <xdr:col>5</xdr:col>
      <xdr:colOff>152400</xdr:colOff>
      <xdr:row>9</xdr:row>
      <xdr:rowOff>28576</xdr:rowOff>
    </xdr:to>
    <xdr:sp macro="" textlink="">
      <xdr:nvSpPr>
        <xdr:cNvPr id="8" name="Flowchart: Process 7"/>
        <xdr:cNvSpPr/>
      </xdr:nvSpPr>
      <xdr:spPr>
        <a:xfrm>
          <a:off x="2838450" y="1571625"/>
          <a:ext cx="742950" cy="342901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  B/G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0</xdr:colOff>
      <xdr:row>7</xdr:row>
      <xdr:rowOff>28575</xdr:rowOff>
    </xdr:from>
    <xdr:to>
      <xdr:col>7</xdr:col>
      <xdr:colOff>57150</xdr:colOff>
      <xdr:row>9</xdr:row>
      <xdr:rowOff>28576</xdr:rowOff>
    </xdr:to>
    <xdr:sp macro="" textlink="">
      <xdr:nvSpPr>
        <xdr:cNvPr id="9" name="Flowchart: Process 8"/>
        <xdr:cNvSpPr/>
      </xdr:nvSpPr>
      <xdr:spPr>
        <a:xfrm>
          <a:off x="4114800" y="1571625"/>
          <a:ext cx="742950" cy="342901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D/S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0</xdr:colOff>
      <xdr:row>7</xdr:row>
      <xdr:rowOff>28575</xdr:rowOff>
    </xdr:from>
    <xdr:to>
      <xdr:col>9</xdr:col>
      <xdr:colOff>57150</xdr:colOff>
      <xdr:row>9</xdr:row>
      <xdr:rowOff>28576</xdr:rowOff>
    </xdr:to>
    <xdr:sp macro="" textlink="">
      <xdr:nvSpPr>
        <xdr:cNvPr id="10" name="Flowchart: Process 9"/>
        <xdr:cNvSpPr/>
      </xdr:nvSpPr>
      <xdr:spPr>
        <a:xfrm>
          <a:off x="5486400" y="1571625"/>
          <a:ext cx="742950" cy="342901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DA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0</xdr:colOff>
      <xdr:row>7</xdr:row>
      <xdr:rowOff>28575</xdr:rowOff>
    </xdr:from>
    <xdr:to>
      <xdr:col>11</xdr:col>
      <xdr:colOff>57150</xdr:colOff>
      <xdr:row>9</xdr:row>
      <xdr:rowOff>28576</xdr:rowOff>
    </xdr:to>
    <xdr:sp macro="" textlink="">
      <xdr:nvSpPr>
        <xdr:cNvPr id="11" name="Flowchart: Process 10"/>
        <xdr:cNvSpPr/>
      </xdr:nvSpPr>
      <xdr:spPr>
        <a:xfrm>
          <a:off x="6858000" y="1571625"/>
          <a:ext cx="742950" cy="342901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WB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0</xdr:colOff>
      <xdr:row>7</xdr:row>
      <xdr:rowOff>28575</xdr:rowOff>
    </xdr:from>
    <xdr:to>
      <xdr:col>13</xdr:col>
      <xdr:colOff>57150</xdr:colOff>
      <xdr:row>9</xdr:row>
      <xdr:rowOff>28576</xdr:rowOff>
    </xdr:to>
    <xdr:sp macro="" textlink="">
      <xdr:nvSpPr>
        <xdr:cNvPr id="12" name="Flowchart: Process 11"/>
        <xdr:cNvSpPr/>
      </xdr:nvSpPr>
      <xdr:spPr>
        <a:xfrm>
          <a:off x="8229600" y="1571625"/>
          <a:ext cx="742950" cy="342901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MOLD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295275</xdr:colOff>
      <xdr:row>8</xdr:row>
      <xdr:rowOff>28576</xdr:rowOff>
    </xdr:from>
    <xdr:to>
      <xdr:col>4</xdr:col>
      <xdr:colOff>95250</xdr:colOff>
      <xdr:row>8</xdr:row>
      <xdr:rowOff>28576</xdr:rowOff>
    </xdr:to>
    <xdr:cxnSp macro="">
      <xdr:nvCxnSpPr>
        <xdr:cNvPr id="14" name="Straight Arrow Connector 13"/>
        <xdr:cNvCxnSpPr>
          <a:stCxn id="5" idx="3"/>
          <a:endCxn id="8" idx="1"/>
        </xdr:cNvCxnSpPr>
      </xdr:nvCxnSpPr>
      <xdr:spPr>
        <a:xfrm>
          <a:off x="2352675" y="1743076"/>
          <a:ext cx="485775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8</xdr:row>
      <xdr:rowOff>28576</xdr:rowOff>
    </xdr:from>
    <xdr:to>
      <xdr:col>6</xdr:col>
      <xdr:colOff>0</xdr:colOff>
      <xdr:row>8</xdr:row>
      <xdr:rowOff>28576</xdr:rowOff>
    </xdr:to>
    <xdr:cxnSp macro="">
      <xdr:nvCxnSpPr>
        <xdr:cNvPr id="18" name="Straight Arrow Connector 17"/>
        <xdr:cNvCxnSpPr>
          <a:stCxn id="8" idx="3"/>
          <a:endCxn id="9" idx="1"/>
        </xdr:cNvCxnSpPr>
      </xdr:nvCxnSpPr>
      <xdr:spPr>
        <a:xfrm>
          <a:off x="3581400" y="1743076"/>
          <a:ext cx="53340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8</xdr:row>
      <xdr:rowOff>28576</xdr:rowOff>
    </xdr:from>
    <xdr:to>
      <xdr:col>8</xdr:col>
      <xdr:colOff>0</xdr:colOff>
      <xdr:row>8</xdr:row>
      <xdr:rowOff>28576</xdr:rowOff>
    </xdr:to>
    <xdr:cxnSp macro="">
      <xdr:nvCxnSpPr>
        <xdr:cNvPr id="21" name="Straight Arrow Connector 20"/>
        <xdr:cNvCxnSpPr>
          <a:stCxn id="9" idx="3"/>
          <a:endCxn id="10" idx="1"/>
        </xdr:cNvCxnSpPr>
      </xdr:nvCxnSpPr>
      <xdr:spPr>
        <a:xfrm>
          <a:off x="4857750" y="1743076"/>
          <a:ext cx="62865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8</xdr:row>
      <xdr:rowOff>28576</xdr:rowOff>
    </xdr:from>
    <xdr:to>
      <xdr:col>10</xdr:col>
      <xdr:colOff>0</xdr:colOff>
      <xdr:row>8</xdr:row>
      <xdr:rowOff>28576</xdr:rowOff>
    </xdr:to>
    <xdr:cxnSp macro="">
      <xdr:nvCxnSpPr>
        <xdr:cNvPr id="25" name="Straight Arrow Connector 24"/>
        <xdr:cNvCxnSpPr>
          <a:stCxn id="10" idx="3"/>
          <a:endCxn id="11" idx="1"/>
        </xdr:cNvCxnSpPr>
      </xdr:nvCxnSpPr>
      <xdr:spPr>
        <a:xfrm>
          <a:off x="6229350" y="1743076"/>
          <a:ext cx="62865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8</xdr:row>
      <xdr:rowOff>28576</xdr:rowOff>
    </xdr:from>
    <xdr:to>
      <xdr:col>12</xdr:col>
      <xdr:colOff>0</xdr:colOff>
      <xdr:row>8</xdr:row>
      <xdr:rowOff>28576</xdr:rowOff>
    </xdr:to>
    <xdr:cxnSp macro="">
      <xdr:nvCxnSpPr>
        <xdr:cNvPr id="30" name="Straight Arrow Connector 29"/>
        <xdr:cNvCxnSpPr>
          <a:stCxn id="11" idx="3"/>
          <a:endCxn id="12" idx="1"/>
        </xdr:cNvCxnSpPr>
      </xdr:nvCxnSpPr>
      <xdr:spPr>
        <a:xfrm>
          <a:off x="7600950" y="1743076"/>
          <a:ext cx="62865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295275</xdr:colOff>
      <xdr:row>7</xdr:row>
      <xdr:rowOff>28575</xdr:rowOff>
    </xdr:from>
    <xdr:to>
      <xdr:col>1</xdr:col>
      <xdr:colOff>352425</xdr:colOff>
      <xdr:row>9</xdr:row>
      <xdr:rowOff>28576</xdr:rowOff>
    </xdr:to>
    <xdr:sp macro="" textlink="">
      <xdr:nvSpPr>
        <xdr:cNvPr id="34" name="Flowchart: Process 33"/>
        <xdr:cNvSpPr/>
      </xdr:nvSpPr>
      <xdr:spPr>
        <a:xfrm>
          <a:off x="1666875" y="1571625"/>
          <a:ext cx="742950" cy="342901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/>
            <a:t>KGD</a:t>
          </a:r>
          <a:endParaRPr lang="zh-CN" altLang="en-US" sz="1100"/>
        </a:p>
      </xdr:txBody>
    </xdr:sp>
    <xdr:clientData/>
  </xdr:twoCellAnchor>
  <xdr:twoCellAnchor>
    <xdr:from>
      <xdr:col>0</xdr:col>
      <xdr:colOff>304800</xdr:colOff>
      <xdr:row>12</xdr:row>
      <xdr:rowOff>76200</xdr:rowOff>
    </xdr:from>
    <xdr:to>
      <xdr:col>1</xdr:col>
      <xdr:colOff>361950</xdr:colOff>
      <xdr:row>14</xdr:row>
      <xdr:rowOff>76201</xdr:rowOff>
    </xdr:to>
    <xdr:sp macro="" textlink="">
      <xdr:nvSpPr>
        <xdr:cNvPr id="35" name="Flowchart: Process 34"/>
        <xdr:cNvSpPr/>
      </xdr:nvSpPr>
      <xdr:spPr>
        <a:xfrm>
          <a:off x="1676400" y="2886075"/>
          <a:ext cx="742950" cy="381001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/>
            <a:t>SMT</a:t>
          </a:r>
          <a:endParaRPr lang="zh-CN" altLang="en-US" sz="1100"/>
        </a:p>
      </xdr:txBody>
    </xdr:sp>
    <xdr:clientData/>
  </xdr:twoCellAnchor>
  <xdr:twoCellAnchor>
    <xdr:from>
      <xdr:col>1</xdr:col>
      <xdr:colOff>361950</xdr:colOff>
      <xdr:row>8</xdr:row>
      <xdr:rowOff>28576</xdr:rowOff>
    </xdr:from>
    <xdr:to>
      <xdr:col>8</xdr:col>
      <xdr:colOff>0</xdr:colOff>
      <xdr:row>13</xdr:row>
      <xdr:rowOff>76201</xdr:rowOff>
    </xdr:to>
    <xdr:cxnSp macro="">
      <xdr:nvCxnSpPr>
        <xdr:cNvPr id="37" name="Elbow Connector 36"/>
        <xdr:cNvCxnSpPr>
          <a:stCxn id="35" idx="3"/>
          <a:endCxn id="10" idx="1"/>
        </xdr:cNvCxnSpPr>
      </xdr:nvCxnSpPr>
      <xdr:spPr>
        <a:xfrm flipV="1">
          <a:off x="2419350" y="2076451"/>
          <a:ext cx="4438650" cy="1000125"/>
        </a:xfrm>
        <a:prstGeom prst="bentConnector3">
          <a:avLst>
            <a:gd name="adj1" fmla="val 92918"/>
          </a:avLst>
        </a:prstGeom>
        <a:ln w="254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</xdr:row>
      <xdr:rowOff>142875</xdr:rowOff>
    </xdr:from>
    <xdr:to>
      <xdr:col>1</xdr:col>
      <xdr:colOff>514350</xdr:colOff>
      <xdr:row>15</xdr:row>
      <xdr:rowOff>0</xdr:rowOff>
    </xdr:to>
    <xdr:sp macro="" textlink="">
      <xdr:nvSpPr>
        <xdr:cNvPr id="40" name="Rectangle 39"/>
        <xdr:cNvSpPr/>
      </xdr:nvSpPr>
      <xdr:spPr>
        <a:xfrm>
          <a:off x="1390650" y="904875"/>
          <a:ext cx="1181100" cy="2333625"/>
        </a:xfrm>
        <a:prstGeom prst="rect">
          <a:avLst/>
        </a:prstGeom>
        <a:noFill/>
        <a:ln w="25400">
          <a:solidFill>
            <a:schemeClr val="bg1">
              <a:lumMod val="50000"/>
            </a:schemeClr>
          </a:solidFill>
          <a:prstDash val="sys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352425</xdr:colOff>
      <xdr:row>8</xdr:row>
      <xdr:rowOff>28576</xdr:rowOff>
    </xdr:from>
    <xdr:to>
      <xdr:col>2</xdr:col>
      <xdr:colOff>238125</xdr:colOff>
      <xdr:row>8</xdr:row>
      <xdr:rowOff>28576</xdr:rowOff>
    </xdr:to>
    <xdr:cxnSp macro="">
      <xdr:nvCxnSpPr>
        <xdr:cNvPr id="42" name="Straight Arrow Connector 41"/>
        <xdr:cNvCxnSpPr>
          <a:stCxn id="34" idx="3"/>
          <a:endCxn id="5" idx="1"/>
        </xdr:cNvCxnSpPr>
      </xdr:nvCxnSpPr>
      <xdr:spPr>
        <a:xfrm>
          <a:off x="2409825" y="1743076"/>
          <a:ext cx="57150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538163</xdr:colOff>
      <xdr:row>5</xdr:row>
      <xdr:rowOff>47625</xdr:rowOff>
    </xdr:from>
    <xdr:to>
      <xdr:col>6</xdr:col>
      <xdr:colOff>476253</xdr:colOff>
      <xdr:row>7</xdr:row>
      <xdr:rowOff>4765</xdr:rowOff>
    </xdr:to>
    <xdr:sp macro="" textlink="">
      <xdr:nvSpPr>
        <xdr:cNvPr id="46" name="Left Brace 45"/>
        <xdr:cNvSpPr/>
      </xdr:nvSpPr>
      <xdr:spPr>
        <a:xfrm rot="5400000">
          <a:off x="4471988" y="57150"/>
          <a:ext cx="300040" cy="268129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zh-CN" altLang="en-US" sz="1100" b="1" cap="none" spc="100">
            <a:ln w="18000">
              <a:solidFill>
                <a:schemeClr val="accent1">
                  <a:satMod val="200000"/>
                  <a:tint val="72000"/>
                </a:schemeClr>
              </a:solidFill>
              <a:prstDash val="solid"/>
            </a:ln>
            <a:solidFill>
              <a:schemeClr val="accent1">
                <a:satMod val="280000"/>
                <a:tint val="100000"/>
                <a:alpha val="5700"/>
              </a:schemeClr>
            </a:solidFill>
            <a:effectLst>
              <a:outerShdw blurRad="25000" dist="20000" dir="16020000" algn="tl">
                <a:schemeClr val="accent1">
                  <a:satMod val="200000"/>
                  <a:shade val="1000"/>
                  <a:alpha val="6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352424</xdr:colOff>
      <xdr:row>5</xdr:row>
      <xdr:rowOff>38100</xdr:rowOff>
    </xdr:from>
    <xdr:to>
      <xdr:col>12</xdr:col>
      <xdr:colOff>438149</xdr:colOff>
      <xdr:row>7</xdr:row>
      <xdr:rowOff>4765</xdr:rowOff>
    </xdr:to>
    <xdr:sp macro="" textlink="">
      <xdr:nvSpPr>
        <xdr:cNvPr id="47" name="Left Brace 46"/>
        <xdr:cNvSpPr/>
      </xdr:nvSpPr>
      <xdr:spPr>
        <a:xfrm rot="5400000">
          <a:off x="8470104" y="-21430"/>
          <a:ext cx="309565" cy="2828925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zh-CN" altLang="en-US" sz="1100" b="1" cap="none" spc="100">
            <a:ln w="18000">
              <a:solidFill>
                <a:schemeClr val="accent1">
                  <a:satMod val="200000"/>
                  <a:tint val="72000"/>
                </a:schemeClr>
              </a:solidFill>
              <a:prstDash val="solid"/>
            </a:ln>
            <a:solidFill>
              <a:schemeClr val="accent1">
                <a:satMod val="280000"/>
                <a:tint val="100000"/>
                <a:alpha val="5700"/>
              </a:schemeClr>
            </a:solidFill>
            <a:effectLst>
              <a:outerShdw blurRad="25000" dist="20000" dir="16020000" algn="tl">
                <a:schemeClr val="accent1">
                  <a:satMod val="200000"/>
                  <a:shade val="1000"/>
                  <a:alpha val="6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238125</xdr:colOff>
      <xdr:row>3</xdr:row>
      <xdr:rowOff>123825</xdr:rowOff>
    </xdr:from>
    <xdr:to>
      <xdr:col>5</xdr:col>
      <xdr:colOff>95250</xdr:colOff>
      <xdr:row>5</xdr:row>
      <xdr:rowOff>38100</xdr:rowOff>
    </xdr:to>
    <xdr:sp macro="" textlink="">
      <xdr:nvSpPr>
        <xdr:cNvPr id="48" name="TextBox 47"/>
        <xdr:cNvSpPr txBox="1"/>
      </xdr:nvSpPr>
      <xdr:spPr>
        <a:xfrm>
          <a:off x="4352925" y="981075"/>
          <a:ext cx="54292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zh-CN" sz="1100"/>
            <a:t>Wafer</a:t>
          </a:r>
          <a:endParaRPr lang="zh-CN" altLang="en-US" sz="1100"/>
        </a:p>
      </xdr:txBody>
    </xdr:sp>
    <xdr:clientData/>
  </xdr:twoCellAnchor>
  <xdr:twoCellAnchor>
    <xdr:from>
      <xdr:col>10</xdr:col>
      <xdr:colOff>19050</xdr:colOff>
      <xdr:row>4</xdr:row>
      <xdr:rowOff>0</xdr:rowOff>
    </xdr:from>
    <xdr:to>
      <xdr:col>11</xdr:col>
      <xdr:colOff>95250</xdr:colOff>
      <xdr:row>5</xdr:row>
      <xdr:rowOff>104775</xdr:rowOff>
    </xdr:to>
    <xdr:sp macro="" textlink="">
      <xdr:nvSpPr>
        <xdr:cNvPr id="49" name="TextBox 48"/>
        <xdr:cNvSpPr txBox="1"/>
      </xdr:nvSpPr>
      <xdr:spPr>
        <a:xfrm>
          <a:off x="8248650" y="1047750"/>
          <a:ext cx="76200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zh-CN" sz="1100"/>
            <a:t>Substrate</a:t>
          </a:r>
          <a:endParaRPr lang="zh-CN" altLang="en-US" sz="1100"/>
        </a:p>
      </xdr:txBody>
    </xdr:sp>
    <xdr:clientData/>
  </xdr:twoCellAnchor>
  <xdr:twoCellAnchor>
    <xdr:from>
      <xdr:col>2</xdr:col>
      <xdr:colOff>104775</xdr:colOff>
      <xdr:row>2</xdr:row>
      <xdr:rowOff>142875</xdr:rowOff>
    </xdr:from>
    <xdr:to>
      <xdr:col>13</xdr:col>
      <xdr:colOff>333375</xdr:colOff>
      <xdr:row>14</xdr:row>
      <xdr:rowOff>180975</xdr:rowOff>
    </xdr:to>
    <xdr:sp macro="" textlink="">
      <xdr:nvSpPr>
        <xdr:cNvPr id="50" name="Rectangle 49"/>
        <xdr:cNvSpPr/>
      </xdr:nvSpPr>
      <xdr:spPr>
        <a:xfrm>
          <a:off x="2847975" y="904875"/>
          <a:ext cx="7772400" cy="232410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0</xdr:col>
      <xdr:colOff>447675</xdr:colOff>
      <xdr:row>4</xdr:row>
      <xdr:rowOff>152401</xdr:rowOff>
    </xdr:from>
    <xdr:to>
      <xdr:col>1</xdr:col>
      <xdr:colOff>333375</xdr:colOff>
      <xdr:row>6</xdr:row>
      <xdr:rowOff>38101</xdr:rowOff>
    </xdr:to>
    <xdr:sp macro="" textlink="">
      <xdr:nvSpPr>
        <xdr:cNvPr id="23" name="Rectangular Callout 22"/>
        <xdr:cNvSpPr/>
      </xdr:nvSpPr>
      <xdr:spPr>
        <a:xfrm>
          <a:off x="1819275" y="1438276"/>
          <a:ext cx="571500" cy="266700"/>
        </a:xfrm>
        <a:prstGeom prst="wedgeRectCallout">
          <a:avLst>
            <a:gd name="adj1" fmla="val -15833"/>
            <a:gd name="adj2" fmla="val 116071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Wafer</a:t>
          </a:r>
          <a:endParaRPr lang="zh-CN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228599</xdr:colOff>
      <xdr:row>10</xdr:row>
      <xdr:rowOff>19050</xdr:rowOff>
    </xdr:from>
    <xdr:to>
      <xdr:col>1</xdr:col>
      <xdr:colOff>333374</xdr:colOff>
      <xdr:row>11</xdr:row>
      <xdr:rowOff>95250</xdr:rowOff>
    </xdr:to>
    <xdr:sp macro="" textlink="">
      <xdr:nvSpPr>
        <xdr:cNvPr id="24" name="Rectangular Callout 23"/>
        <xdr:cNvSpPr/>
      </xdr:nvSpPr>
      <xdr:spPr>
        <a:xfrm>
          <a:off x="1600199" y="2447925"/>
          <a:ext cx="790575" cy="266700"/>
        </a:xfrm>
        <a:prstGeom prst="wedgeRectCallout">
          <a:avLst>
            <a:gd name="adj1" fmla="val 10673"/>
            <a:gd name="adj2" fmla="val 112499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r>
            <a:rPr lang="en-US" altLang="zh-CN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Substrate</a:t>
          </a:r>
          <a:endParaRPr lang="zh-CN" altLang="zh-CN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523875</xdr:colOff>
      <xdr:row>2</xdr:row>
      <xdr:rowOff>38100</xdr:rowOff>
    </xdr:from>
    <xdr:to>
      <xdr:col>11</xdr:col>
      <xdr:colOff>228600</xdr:colOff>
      <xdr:row>15</xdr:row>
      <xdr:rowOff>142875</xdr:rowOff>
    </xdr:to>
    <xdr:sp macro="" textlink="">
      <xdr:nvSpPr>
        <xdr:cNvPr id="26" name="Rectangle 25"/>
        <xdr:cNvSpPr/>
      </xdr:nvSpPr>
      <xdr:spPr>
        <a:xfrm>
          <a:off x="5324475" y="561975"/>
          <a:ext cx="2447925" cy="25812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8</xdr:col>
      <xdr:colOff>28575</xdr:colOff>
      <xdr:row>17</xdr:row>
      <xdr:rowOff>85725</xdr:rowOff>
    </xdr:from>
    <xdr:to>
      <xdr:col>9</xdr:col>
      <xdr:colOff>638175</xdr:colOff>
      <xdr:row>20</xdr:row>
      <xdr:rowOff>180975</xdr:rowOff>
    </xdr:to>
    <xdr:sp macro="" textlink="">
      <xdr:nvSpPr>
        <xdr:cNvPr id="27" name="Rectangular Callout 26"/>
        <xdr:cNvSpPr/>
      </xdr:nvSpPr>
      <xdr:spPr>
        <a:xfrm>
          <a:off x="5514975" y="3467100"/>
          <a:ext cx="1295400" cy="666750"/>
        </a:xfrm>
        <a:prstGeom prst="wedgeRectCallout">
          <a:avLst>
            <a:gd name="adj1" fmla="val 4167"/>
            <a:gd name="adj2" fmla="val -96071"/>
          </a:avLst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zh-CN" sz="1800" b="1">
              <a:solidFill>
                <a:sysClr val="windowText" lastClr="000000"/>
              </a:solidFill>
            </a:rPr>
            <a:t>DA&amp;WB demo</a:t>
          </a:r>
          <a:endParaRPr lang="zh-CN" altLang="en-US" sz="18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34"/>
  <sheetViews>
    <sheetView workbookViewId="0">
      <selection activeCell="I27" sqref="I27"/>
    </sheetView>
  </sheetViews>
  <sheetFormatPr defaultRowHeight="15"/>
  <cols>
    <col min="1" max="4" width="9" style="1"/>
    <col min="5" max="5" width="25" style="1" bestFit="1" customWidth="1"/>
    <col min="6" max="16384" width="9" style="1"/>
  </cols>
  <sheetData>
    <row r="1" spans="2:6">
      <c r="C1" s="7" t="s">
        <v>55</v>
      </c>
    </row>
    <row r="2" spans="2:6">
      <c r="C2" s="1" t="s">
        <v>144</v>
      </c>
      <c r="D2" s="1" t="s">
        <v>143</v>
      </c>
    </row>
    <row r="3" spans="2:6">
      <c r="C3" s="1" t="s">
        <v>145</v>
      </c>
      <c r="D3" s="1" t="s">
        <v>146</v>
      </c>
    </row>
    <row r="4" spans="2:6">
      <c r="C4" s="7" t="s">
        <v>48</v>
      </c>
    </row>
    <row r="5" spans="2:6">
      <c r="B5" s="1">
        <v>1</v>
      </c>
      <c r="C5" s="1" t="s">
        <v>47</v>
      </c>
    </row>
    <row r="6" spans="2:6">
      <c r="B6" s="1">
        <v>2</v>
      </c>
      <c r="C6" s="1" t="s">
        <v>60</v>
      </c>
    </row>
    <row r="7" spans="2:6">
      <c r="B7" s="1">
        <v>3</v>
      </c>
      <c r="C7" s="1" t="s">
        <v>56</v>
      </c>
    </row>
    <row r="9" spans="2:6">
      <c r="C9" s="7" t="s">
        <v>32</v>
      </c>
    </row>
    <row r="10" spans="2:6">
      <c r="B10" s="1">
        <v>1</v>
      </c>
      <c r="C10" s="1" t="s">
        <v>181</v>
      </c>
    </row>
    <row r="11" spans="2:6">
      <c r="B11" s="1">
        <v>2</v>
      </c>
      <c r="C11" s="1" t="s">
        <v>61</v>
      </c>
    </row>
    <row r="12" spans="2:6">
      <c r="B12" s="1">
        <v>3</v>
      </c>
      <c r="C12" s="1" t="s">
        <v>182</v>
      </c>
    </row>
    <row r="13" spans="2:6">
      <c r="B13" s="1">
        <v>4</v>
      </c>
      <c r="C13" s="1" t="s">
        <v>57</v>
      </c>
    </row>
    <row r="14" spans="2:6">
      <c r="B14" s="1">
        <v>5</v>
      </c>
      <c r="C14" s="1" t="s">
        <v>49</v>
      </c>
    </row>
    <row r="15" spans="2:6">
      <c r="C15" s="6" t="s">
        <v>30</v>
      </c>
      <c r="D15" s="6" t="s">
        <v>31</v>
      </c>
      <c r="E15" s="6" t="s">
        <v>51</v>
      </c>
      <c r="F15" s="6" t="s">
        <v>46</v>
      </c>
    </row>
    <row r="16" spans="2:6">
      <c r="C16" s="2" t="s">
        <v>0</v>
      </c>
      <c r="D16" s="2" t="s">
        <v>28</v>
      </c>
      <c r="E16" s="2" t="s">
        <v>50</v>
      </c>
      <c r="F16" s="2" t="s">
        <v>149</v>
      </c>
    </row>
    <row r="17" spans="2:14">
      <c r="C17" s="2" t="s">
        <v>1</v>
      </c>
      <c r="D17" s="2" t="s">
        <v>28</v>
      </c>
      <c r="E17" s="2" t="s">
        <v>183</v>
      </c>
      <c r="F17" s="2"/>
    </row>
    <row r="18" spans="2:14">
      <c r="B18" s="1">
        <v>6</v>
      </c>
      <c r="C18" s="1" t="s">
        <v>58</v>
      </c>
    </row>
    <row r="19" spans="2:14">
      <c r="C19" s="9">
        <v>3.1</v>
      </c>
      <c r="D19" s="1" t="s">
        <v>54</v>
      </c>
      <c r="I19" s="21" t="s">
        <v>186</v>
      </c>
      <c r="M19" s="26" t="s">
        <v>195</v>
      </c>
    </row>
    <row r="20" spans="2:14">
      <c r="C20" s="9">
        <v>3.2</v>
      </c>
      <c r="D20" s="1" t="s">
        <v>193</v>
      </c>
      <c r="I20" s="21" t="s">
        <v>187</v>
      </c>
      <c r="N20" s="26" t="s">
        <v>196</v>
      </c>
    </row>
    <row r="21" spans="2:14">
      <c r="B21" s="1">
        <v>7</v>
      </c>
      <c r="C21" s="1" t="s">
        <v>59</v>
      </c>
    </row>
    <row r="22" spans="2:14">
      <c r="B22" s="1">
        <v>8</v>
      </c>
      <c r="C22" s="1" t="s">
        <v>33</v>
      </c>
      <c r="I22" s="21" t="s">
        <v>188</v>
      </c>
      <c r="M22" s="27" t="s">
        <v>197</v>
      </c>
    </row>
    <row r="23" spans="2:14">
      <c r="I23" s="21" t="s">
        <v>184</v>
      </c>
    </row>
    <row r="24" spans="2:14">
      <c r="C24" s="7" t="s">
        <v>176</v>
      </c>
    </row>
    <row r="25" spans="2:14">
      <c r="C25" s="14" t="s">
        <v>147</v>
      </c>
      <c r="I25" s="21" t="s">
        <v>189</v>
      </c>
    </row>
    <row r="26" spans="2:14">
      <c r="C26" s="14" t="s">
        <v>180</v>
      </c>
      <c r="I26" s="21" t="s">
        <v>191</v>
      </c>
    </row>
    <row r="27" spans="2:14">
      <c r="C27" s="14" t="s">
        <v>179</v>
      </c>
      <c r="I27" s="21" t="s">
        <v>190</v>
      </c>
    </row>
    <row r="28" spans="2:14">
      <c r="C28" s="14" t="s">
        <v>148</v>
      </c>
    </row>
    <row r="29" spans="2:14">
      <c r="C29" s="14" t="s">
        <v>177</v>
      </c>
      <c r="I29" s="21" t="s">
        <v>191</v>
      </c>
    </row>
    <row r="30" spans="2:14">
      <c r="C30" s="20" t="s">
        <v>178</v>
      </c>
      <c r="I30" s="21" t="s">
        <v>192</v>
      </c>
    </row>
    <row r="33" spans="3:5">
      <c r="C33" s="26" t="s">
        <v>207</v>
      </c>
      <c r="E33" s="21" t="s">
        <v>212</v>
      </c>
    </row>
    <row r="34" spans="3:5">
      <c r="C34" s="1" t="s">
        <v>210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G2:K4"/>
  <sheetViews>
    <sheetView zoomScaleNormal="100" workbookViewId="0">
      <selection activeCell="F19" sqref="F19"/>
    </sheetView>
  </sheetViews>
  <sheetFormatPr defaultRowHeight="15"/>
  <cols>
    <col min="1" max="16384" width="9" style="1"/>
  </cols>
  <sheetData>
    <row r="2" spans="7:11" ht="26.25">
      <c r="G2" s="5" t="s">
        <v>29</v>
      </c>
    </row>
    <row r="4" spans="7:11">
      <c r="K4" s="4"/>
    </row>
  </sheetData>
  <phoneticPr fontId="2" type="noConversion"/>
  <pageMargins left="0.70866141732283472" right="0.70866141732283472" top="0.74803149606299213" bottom="0.74803149606299213" header="0.31496062992125984" footer="0.31496062992125984"/>
  <pageSetup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C10" sqref="C10"/>
    </sheetView>
  </sheetViews>
  <sheetFormatPr defaultRowHeight="15"/>
  <cols>
    <col min="1" max="2" width="9" style="1"/>
    <col min="3" max="3" width="16.375" style="1" bestFit="1" customWidth="1"/>
    <col min="4" max="4" width="11.5" style="1" bestFit="1" customWidth="1"/>
    <col min="5" max="5" width="12.625" style="1" bestFit="1" customWidth="1"/>
    <col min="6" max="16384" width="9" style="1"/>
  </cols>
  <sheetData>
    <row r="1" spans="1:5">
      <c r="A1" s="10" t="s">
        <v>30</v>
      </c>
      <c r="B1" s="10" t="s">
        <v>25</v>
      </c>
      <c r="C1" s="10" t="s">
        <v>52</v>
      </c>
      <c r="D1" s="10" t="s">
        <v>34</v>
      </c>
      <c r="E1" s="10" t="s">
        <v>53</v>
      </c>
    </row>
    <row r="2" spans="1:5">
      <c r="A2" s="2" t="s">
        <v>26</v>
      </c>
      <c r="B2" s="2">
        <v>108</v>
      </c>
      <c r="C2" s="8" t="s">
        <v>35</v>
      </c>
      <c r="D2" s="2">
        <v>18</v>
      </c>
      <c r="E2" s="3">
        <v>0.9</v>
      </c>
    </row>
    <row r="3" spans="1:5">
      <c r="A3" s="2" t="s">
        <v>27</v>
      </c>
      <c r="B3" s="2">
        <v>288</v>
      </c>
      <c r="C3" s="8" t="s">
        <v>36</v>
      </c>
      <c r="D3" s="2">
        <v>24</v>
      </c>
      <c r="E3" s="3">
        <v>0.85</v>
      </c>
    </row>
    <row r="4" spans="1:5">
      <c r="D4" s="27" t="s">
        <v>211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4"/>
  <sheetViews>
    <sheetView workbookViewId="0">
      <selection activeCell="C20" sqref="C20"/>
    </sheetView>
  </sheetViews>
  <sheetFormatPr defaultRowHeight="15"/>
  <cols>
    <col min="1" max="1" width="9" style="1"/>
    <col min="2" max="2" width="17.75" style="1" bestFit="1" customWidth="1"/>
    <col min="3" max="3" width="15.125" style="1" customWidth="1"/>
    <col min="4" max="4" width="9" style="1"/>
    <col min="5" max="5" width="13.875" style="1" bestFit="1" customWidth="1"/>
    <col min="6" max="6" width="13.5" style="1" bestFit="1" customWidth="1"/>
    <col min="7" max="7" width="51.75" style="1" bestFit="1" customWidth="1"/>
    <col min="8" max="16384" width="9" style="1"/>
  </cols>
  <sheetData>
    <row r="1" spans="1:7" s="7" customFormat="1">
      <c r="A1" s="7">
        <v>1</v>
      </c>
      <c r="B1" s="7" t="s">
        <v>175</v>
      </c>
    </row>
    <row r="2" spans="1:7">
      <c r="B2" s="10" t="s">
        <v>158</v>
      </c>
      <c r="C2" s="10" t="s">
        <v>153</v>
      </c>
    </row>
    <row r="3" spans="1:7">
      <c r="B3" s="2" t="s">
        <v>151</v>
      </c>
      <c r="C3" s="2" t="s">
        <v>194</v>
      </c>
      <c r="F3" s="21"/>
      <c r="G3" s="1" t="s">
        <v>204</v>
      </c>
    </row>
    <row r="4" spans="1:7">
      <c r="B4" s="2" t="s">
        <v>152</v>
      </c>
      <c r="C4" s="2"/>
    </row>
    <row r="5" spans="1:7">
      <c r="G5" s="1" t="s">
        <v>205</v>
      </c>
    </row>
    <row r="6" spans="1:7">
      <c r="B6" s="10" t="s">
        <v>157</v>
      </c>
      <c r="C6" s="10" t="s">
        <v>153</v>
      </c>
    </row>
    <row r="7" spans="1:7">
      <c r="B7" s="2" t="s">
        <v>154</v>
      </c>
      <c r="C7" s="2"/>
    </row>
    <row r="8" spans="1:7">
      <c r="B8" s="2" t="s">
        <v>155</v>
      </c>
      <c r="C8" s="2" t="s">
        <v>159</v>
      </c>
    </row>
    <row r="9" spans="1:7">
      <c r="B9" s="2" t="s">
        <v>156</v>
      </c>
      <c r="C9" s="2" t="s">
        <v>163</v>
      </c>
    </row>
    <row r="10" spans="1:7">
      <c r="B10" s="2" t="s">
        <v>164</v>
      </c>
      <c r="C10" s="2"/>
    </row>
    <row r="12" spans="1:7" s="7" customFormat="1">
      <c r="A12" s="7">
        <v>2</v>
      </c>
      <c r="B12" s="7" t="s">
        <v>165</v>
      </c>
    </row>
    <row r="13" spans="1:7">
      <c r="B13" s="2" t="s">
        <v>166</v>
      </c>
      <c r="C13" s="2" t="s">
        <v>64</v>
      </c>
      <c r="D13" s="2" t="s">
        <v>65</v>
      </c>
      <c r="E13" s="2" t="s">
        <v>138</v>
      </c>
      <c r="F13" s="2" t="s">
        <v>136</v>
      </c>
      <c r="G13" s="2" t="s">
        <v>137</v>
      </c>
    </row>
    <row r="14" spans="1:7">
      <c r="B14" s="2" t="s">
        <v>62</v>
      </c>
      <c r="C14" s="2">
        <v>3</v>
      </c>
      <c r="D14" s="2">
        <v>3</v>
      </c>
      <c r="E14" s="2" t="s">
        <v>139</v>
      </c>
      <c r="F14" s="2" t="s">
        <v>141</v>
      </c>
      <c r="G14" s="2"/>
    </row>
    <row r="15" spans="1:7">
      <c r="B15" s="2" t="s">
        <v>63</v>
      </c>
      <c r="C15" s="2">
        <v>3</v>
      </c>
      <c r="D15" s="2">
        <v>5</v>
      </c>
      <c r="E15" s="2" t="s">
        <v>139</v>
      </c>
      <c r="F15" s="2" t="s">
        <v>141</v>
      </c>
      <c r="G15" s="2"/>
    </row>
    <row r="16" spans="1:7">
      <c r="A16" s="27" t="s">
        <v>209</v>
      </c>
      <c r="B16" s="22" t="s">
        <v>208</v>
      </c>
      <c r="C16" s="2">
        <v>3</v>
      </c>
      <c r="D16" s="2">
        <v>8</v>
      </c>
      <c r="E16" s="2" t="s">
        <v>139</v>
      </c>
      <c r="F16" s="2" t="s">
        <v>141</v>
      </c>
      <c r="G16" s="2" t="s">
        <v>135</v>
      </c>
    </row>
    <row r="18" spans="2:7">
      <c r="B18" s="2" t="s">
        <v>150</v>
      </c>
      <c r="C18" s="2" t="s">
        <v>64</v>
      </c>
      <c r="D18" s="2" t="s">
        <v>65</v>
      </c>
      <c r="E18" s="2" t="s">
        <v>138</v>
      </c>
      <c r="F18" s="2" t="s">
        <v>136</v>
      </c>
      <c r="G18" s="2" t="s">
        <v>137</v>
      </c>
    </row>
    <row r="19" spans="2:7">
      <c r="B19" s="2" t="s">
        <v>160</v>
      </c>
      <c r="C19" s="2">
        <v>10</v>
      </c>
      <c r="D19" s="2">
        <v>10</v>
      </c>
      <c r="E19" s="2" t="s">
        <v>139</v>
      </c>
      <c r="F19" s="2" t="s">
        <v>142</v>
      </c>
      <c r="G19" s="2" t="s">
        <v>66</v>
      </c>
    </row>
    <row r="20" spans="2:7">
      <c r="B20" s="22" t="s">
        <v>161</v>
      </c>
      <c r="C20" s="2">
        <v>30</v>
      </c>
      <c r="D20" s="2">
        <v>30</v>
      </c>
      <c r="E20" s="2"/>
      <c r="F20" s="2" t="s">
        <v>141</v>
      </c>
      <c r="G20" s="2"/>
    </row>
    <row r="21" spans="2:7">
      <c r="B21" s="22" t="s">
        <v>67</v>
      </c>
      <c r="C21" s="2">
        <v>0.5</v>
      </c>
      <c r="D21" s="2">
        <v>0.5</v>
      </c>
      <c r="E21" s="2" t="s">
        <v>139</v>
      </c>
      <c r="F21" s="2" t="s">
        <v>140</v>
      </c>
      <c r="G21" s="2"/>
    </row>
    <row r="22" spans="2:7">
      <c r="B22" s="22" t="s">
        <v>162</v>
      </c>
      <c r="C22" s="2">
        <v>60</v>
      </c>
      <c r="D22" s="2">
        <v>60</v>
      </c>
      <c r="E22" s="2"/>
      <c r="F22" s="2" t="s">
        <v>141</v>
      </c>
      <c r="G22" s="2"/>
    </row>
    <row r="23" spans="2:7">
      <c r="B23" s="22" t="s">
        <v>68</v>
      </c>
      <c r="C23" s="2">
        <v>3</v>
      </c>
      <c r="D23" s="2">
        <v>5</v>
      </c>
      <c r="E23" s="2"/>
      <c r="F23" s="2" t="s">
        <v>140</v>
      </c>
      <c r="G23" s="2"/>
    </row>
    <row r="24" spans="2:7">
      <c r="C24" s="26" t="s">
        <v>206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42"/>
  <sheetViews>
    <sheetView tabSelected="1" zoomScale="70" zoomScaleNormal="70" workbookViewId="0">
      <selection activeCell="J50" sqref="J50"/>
    </sheetView>
  </sheetViews>
  <sheetFormatPr defaultRowHeight="15"/>
  <cols>
    <col min="1" max="1" width="9" style="1"/>
    <col min="2" max="2" width="14.875" style="1" customWidth="1"/>
    <col min="3" max="3" width="16.5" style="1" bestFit="1" customWidth="1"/>
    <col min="4" max="4" width="16.125" style="1" bestFit="1" customWidth="1"/>
    <col min="5" max="5" width="6" style="1" bestFit="1" customWidth="1"/>
    <col min="6" max="6" width="12.25" style="24" bestFit="1" customWidth="1"/>
    <col min="7" max="7" width="12.125" style="1" customWidth="1"/>
    <col min="8" max="8" width="12.5" style="1" customWidth="1"/>
    <col min="9" max="9" width="12.5" style="12" customWidth="1"/>
    <col min="10" max="10" width="12.125" style="1" customWidth="1"/>
    <col min="11" max="11" width="13.625" style="1" bestFit="1" customWidth="1"/>
    <col min="12" max="13" width="13.625" style="1" customWidth="1"/>
    <col min="14" max="14" width="15.25" style="1" customWidth="1"/>
    <col min="15" max="15" width="9" style="1"/>
    <col min="16" max="16" width="10.875" style="1" customWidth="1"/>
    <col min="17" max="17" width="14.375" style="1" bestFit="1" customWidth="1"/>
    <col min="18" max="18" width="10.75" style="1" customWidth="1"/>
    <col min="19" max="19" width="11.75" style="1" customWidth="1"/>
    <col min="20" max="16384" width="9" style="1"/>
  </cols>
  <sheetData>
    <row r="1" spans="1:21" s="7" customFormat="1" ht="33" customHeight="1">
      <c r="F1" s="28" t="s">
        <v>198</v>
      </c>
      <c r="G1" s="25" t="s">
        <v>185</v>
      </c>
      <c r="I1" s="25" t="s">
        <v>199</v>
      </c>
      <c r="L1" s="29" t="s">
        <v>200</v>
      </c>
      <c r="N1" s="25" t="s">
        <v>202</v>
      </c>
      <c r="O1" s="25" t="s">
        <v>201</v>
      </c>
      <c r="P1" s="38" t="s">
        <v>167</v>
      </c>
      <c r="Q1" s="38"/>
      <c r="R1" s="38" t="s">
        <v>168</v>
      </c>
      <c r="S1" s="38"/>
    </row>
    <row r="2" spans="1:21" s="7" customFormat="1" ht="30">
      <c r="B2" s="15" t="s">
        <v>69</v>
      </c>
      <c r="C2" s="15" t="s">
        <v>2</v>
      </c>
      <c r="D2" s="15" t="s">
        <v>107</v>
      </c>
      <c r="E2" s="15" t="s">
        <v>108</v>
      </c>
      <c r="F2" s="23" t="s">
        <v>70</v>
      </c>
      <c r="G2" s="15" t="s">
        <v>71</v>
      </c>
      <c r="H2" s="15" t="s">
        <v>72</v>
      </c>
      <c r="I2" s="16" t="s">
        <v>169</v>
      </c>
      <c r="J2" s="15" t="s">
        <v>170</v>
      </c>
      <c r="K2" s="15" t="s">
        <v>171</v>
      </c>
      <c r="L2" s="15" t="s">
        <v>172</v>
      </c>
      <c r="M2" s="15" t="s">
        <v>173</v>
      </c>
      <c r="N2" s="17" t="s">
        <v>37</v>
      </c>
      <c r="O2" s="11" t="s">
        <v>38</v>
      </c>
      <c r="P2" s="18" t="s">
        <v>174</v>
      </c>
      <c r="Q2" s="19" t="s">
        <v>39</v>
      </c>
      <c r="R2" s="18" t="s">
        <v>174</v>
      </c>
      <c r="S2" s="19" t="s">
        <v>39</v>
      </c>
    </row>
    <row r="3" spans="1:21">
      <c r="A3" s="1">
        <v>1</v>
      </c>
      <c r="B3" s="1">
        <v>39568872</v>
      </c>
      <c r="C3" s="1" t="s">
        <v>132</v>
      </c>
      <c r="D3" s="1" t="s">
        <v>11</v>
      </c>
      <c r="E3" s="1">
        <v>1</v>
      </c>
      <c r="F3" s="24">
        <v>20957</v>
      </c>
      <c r="G3" s="37">
        <v>40923</v>
      </c>
      <c r="H3" s="37">
        <v>40929</v>
      </c>
      <c r="I3" s="12">
        <v>520</v>
      </c>
      <c r="J3" s="1">
        <v>80</v>
      </c>
      <c r="K3" s="1">
        <v>20</v>
      </c>
      <c r="L3" s="13">
        <f t="shared" ref="L3:L34" si="0">I3*25/E3</f>
        <v>13000</v>
      </c>
      <c r="M3" s="1">
        <f t="shared" ref="M3:M34" si="1">K3*J3</f>
        <v>1600</v>
      </c>
      <c r="N3" s="1">
        <v>944</v>
      </c>
      <c r="O3" s="1">
        <v>300</v>
      </c>
      <c r="P3" s="1">
        <v>4</v>
      </c>
      <c r="Q3" s="1">
        <f t="shared" ref="Q3:Q34" si="2">P3*M3</f>
        <v>6400</v>
      </c>
      <c r="R3" s="1">
        <v>2</v>
      </c>
      <c r="S3" s="1">
        <f t="shared" ref="S3:S34" si="3">M3*R3</f>
        <v>3200</v>
      </c>
      <c r="U3" s="1" t="s">
        <v>203</v>
      </c>
    </row>
    <row r="4" spans="1:21">
      <c r="A4" s="1">
        <f>A3+1</f>
        <v>2</v>
      </c>
      <c r="B4" s="1">
        <v>39595268</v>
      </c>
      <c r="C4" s="1" t="s">
        <v>90</v>
      </c>
      <c r="D4" s="1" t="s">
        <v>11</v>
      </c>
      <c r="E4" s="1">
        <v>1</v>
      </c>
      <c r="F4" s="24">
        <v>200600</v>
      </c>
      <c r="G4" s="37">
        <v>40920</v>
      </c>
      <c r="H4" s="37">
        <v>40927</v>
      </c>
      <c r="I4" s="12">
        <v>860</v>
      </c>
      <c r="J4" s="1">
        <v>80</v>
      </c>
      <c r="K4" s="1">
        <v>20</v>
      </c>
      <c r="L4" s="13">
        <f t="shared" si="0"/>
        <v>21500</v>
      </c>
      <c r="M4" s="1">
        <f t="shared" si="1"/>
        <v>1600</v>
      </c>
      <c r="N4" s="1">
        <v>944.18604651162798</v>
      </c>
      <c r="O4" s="1">
        <v>360</v>
      </c>
      <c r="P4" s="1">
        <v>4</v>
      </c>
      <c r="Q4" s="1">
        <f t="shared" si="2"/>
        <v>6400</v>
      </c>
      <c r="R4" s="1">
        <v>2</v>
      </c>
      <c r="S4" s="1">
        <f t="shared" si="3"/>
        <v>3200</v>
      </c>
    </row>
    <row r="5" spans="1:21">
      <c r="A5" s="1">
        <f t="shared" ref="A5:A68" si="4">A4+1</f>
        <v>3</v>
      </c>
      <c r="B5" s="1">
        <v>39567356</v>
      </c>
      <c r="C5" s="1" t="s">
        <v>91</v>
      </c>
      <c r="D5" s="1" t="s">
        <v>12</v>
      </c>
      <c r="E5" s="1">
        <v>2</v>
      </c>
      <c r="F5" s="24">
        <v>19835</v>
      </c>
      <c r="G5" s="37">
        <v>40923</v>
      </c>
      <c r="H5" s="37">
        <v>40931</v>
      </c>
      <c r="I5" s="12">
        <v>360</v>
      </c>
      <c r="J5" s="1">
        <v>80</v>
      </c>
      <c r="K5" s="1">
        <v>20</v>
      </c>
      <c r="L5" s="13">
        <f t="shared" si="0"/>
        <v>4500</v>
      </c>
      <c r="M5" s="1">
        <f t="shared" si="1"/>
        <v>1600</v>
      </c>
      <c r="N5" s="1">
        <v>624</v>
      </c>
      <c r="O5" s="1">
        <v>189.99999999999997</v>
      </c>
      <c r="P5" s="1">
        <v>4</v>
      </c>
      <c r="Q5" s="1">
        <f t="shared" si="2"/>
        <v>6400</v>
      </c>
      <c r="R5" s="1">
        <v>2</v>
      </c>
      <c r="S5" s="1">
        <f t="shared" si="3"/>
        <v>3200</v>
      </c>
    </row>
    <row r="6" spans="1:21">
      <c r="A6" s="1">
        <f t="shared" si="4"/>
        <v>4</v>
      </c>
      <c r="B6" s="1">
        <v>39595810</v>
      </c>
      <c r="C6" s="1" t="s">
        <v>91</v>
      </c>
      <c r="D6" s="1" t="s">
        <v>12</v>
      </c>
      <c r="E6" s="1">
        <v>2</v>
      </c>
      <c r="F6" s="24">
        <v>37988</v>
      </c>
      <c r="G6" s="37">
        <v>40917</v>
      </c>
      <c r="H6" s="37">
        <v>40925</v>
      </c>
      <c r="I6" s="12">
        <v>360</v>
      </c>
      <c r="J6" s="1">
        <v>80</v>
      </c>
      <c r="K6" s="1">
        <v>20</v>
      </c>
      <c r="L6" s="13">
        <f t="shared" si="0"/>
        <v>4500</v>
      </c>
      <c r="M6" s="1">
        <f t="shared" si="1"/>
        <v>1600</v>
      </c>
      <c r="N6" s="1">
        <v>624</v>
      </c>
      <c r="O6" s="1">
        <v>189.99999999999997</v>
      </c>
      <c r="P6" s="1">
        <v>4</v>
      </c>
      <c r="Q6" s="1">
        <f t="shared" si="2"/>
        <v>6400</v>
      </c>
      <c r="R6" s="1">
        <v>2</v>
      </c>
      <c r="S6" s="1">
        <f t="shared" si="3"/>
        <v>3200</v>
      </c>
    </row>
    <row r="7" spans="1:21">
      <c r="A7" s="1">
        <f t="shared" si="4"/>
        <v>5</v>
      </c>
      <c r="B7" s="1">
        <v>39564037</v>
      </c>
      <c r="C7" s="1" t="s">
        <v>91</v>
      </c>
      <c r="D7" s="1" t="s">
        <v>12</v>
      </c>
      <c r="E7" s="1">
        <v>2</v>
      </c>
      <c r="F7" s="24">
        <v>16</v>
      </c>
      <c r="G7" s="37">
        <v>40920</v>
      </c>
      <c r="H7" s="37">
        <v>40928</v>
      </c>
      <c r="I7" s="12">
        <v>360</v>
      </c>
      <c r="J7" s="1">
        <v>80</v>
      </c>
      <c r="K7" s="1">
        <v>20</v>
      </c>
      <c r="L7" s="13">
        <f t="shared" si="0"/>
        <v>4500</v>
      </c>
      <c r="M7" s="1">
        <f t="shared" si="1"/>
        <v>1600</v>
      </c>
      <c r="N7" s="1">
        <v>624</v>
      </c>
      <c r="O7" s="1">
        <v>189.99999999999997</v>
      </c>
      <c r="P7" s="1">
        <v>4</v>
      </c>
      <c r="Q7" s="1">
        <f t="shared" si="2"/>
        <v>6400</v>
      </c>
      <c r="R7" s="1">
        <v>2</v>
      </c>
      <c r="S7" s="1">
        <f t="shared" si="3"/>
        <v>3200</v>
      </c>
    </row>
    <row r="8" spans="1:21">
      <c r="A8" s="1">
        <f t="shared" si="4"/>
        <v>6</v>
      </c>
      <c r="B8" s="1">
        <v>39761056</v>
      </c>
      <c r="C8" s="1" t="s">
        <v>91</v>
      </c>
      <c r="D8" s="1" t="s">
        <v>12</v>
      </c>
      <c r="E8" s="1">
        <v>2</v>
      </c>
      <c r="F8" s="24">
        <v>4252</v>
      </c>
      <c r="G8" s="37">
        <v>40917</v>
      </c>
      <c r="H8" s="37">
        <v>40925</v>
      </c>
      <c r="I8" s="12">
        <v>360</v>
      </c>
      <c r="J8" s="1">
        <v>80</v>
      </c>
      <c r="K8" s="1">
        <v>20</v>
      </c>
      <c r="L8" s="13">
        <f t="shared" si="0"/>
        <v>4500</v>
      </c>
      <c r="M8" s="1">
        <f t="shared" si="1"/>
        <v>1600</v>
      </c>
      <c r="N8" s="1">
        <v>624</v>
      </c>
      <c r="O8" s="1">
        <v>189.99999999999997</v>
      </c>
      <c r="P8" s="1">
        <v>4</v>
      </c>
      <c r="Q8" s="1">
        <f t="shared" si="2"/>
        <v>6400</v>
      </c>
      <c r="R8" s="1">
        <v>2</v>
      </c>
      <c r="S8" s="1">
        <f t="shared" si="3"/>
        <v>3200</v>
      </c>
    </row>
    <row r="9" spans="1:21">
      <c r="A9" s="1">
        <f t="shared" si="4"/>
        <v>7</v>
      </c>
      <c r="B9" s="1">
        <v>39559637</v>
      </c>
      <c r="C9" s="1" t="s">
        <v>91</v>
      </c>
      <c r="D9" s="1" t="s">
        <v>12</v>
      </c>
      <c r="E9" s="1">
        <v>2</v>
      </c>
      <c r="F9" s="24">
        <v>12099</v>
      </c>
      <c r="G9" s="37">
        <v>40920</v>
      </c>
      <c r="H9" s="37">
        <v>40928</v>
      </c>
      <c r="I9" s="12">
        <v>360</v>
      </c>
      <c r="J9" s="1">
        <v>80</v>
      </c>
      <c r="K9" s="1">
        <v>20</v>
      </c>
      <c r="L9" s="13">
        <f t="shared" si="0"/>
        <v>4500</v>
      </c>
      <c r="M9" s="1">
        <f t="shared" si="1"/>
        <v>1600</v>
      </c>
      <c r="N9" s="1">
        <v>624</v>
      </c>
      <c r="O9" s="1">
        <v>189.99999999999997</v>
      </c>
      <c r="P9" s="1">
        <v>4</v>
      </c>
      <c r="Q9" s="1">
        <f t="shared" si="2"/>
        <v>6400</v>
      </c>
      <c r="R9" s="1">
        <v>2</v>
      </c>
      <c r="S9" s="1">
        <f t="shared" si="3"/>
        <v>3200</v>
      </c>
    </row>
    <row r="10" spans="1:21">
      <c r="A10" s="1">
        <f t="shared" si="4"/>
        <v>8</v>
      </c>
      <c r="B10" s="1">
        <v>39559636</v>
      </c>
      <c r="C10" s="1" t="s">
        <v>91</v>
      </c>
      <c r="D10" s="1" t="s">
        <v>12</v>
      </c>
      <c r="E10" s="1">
        <v>2</v>
      </c>
      <c r="F10" s="24">
        <v>2186</v>
      </c>
      <c r="G10" s="37">
        <v>40920</v>
      </c>
      <c r="H10" s="37">
        <v>40928</v>
      </c>
      <c r="I10" s="12">
        <v>360</v>
      </c>
      <c r="J10" s="1">
        <v>80</v>
      </c>
      <c r="K10" s="1">
        <v>20</v>
      </c>
      <c r="L10" s="13">
        <f t="shared" si="0"/>
        <v>4500</v>
      </c>
      <c r="M10" s="1">
        <f t="shared" si="1"/>
        <v>1600</v>
      </c>
      <c r="N10" s="1">
        <v>624</v>
      </c>
      <c r="O10" s="1">
        <v>189.99999999999997</v>
      </c>
      <c r="P10" s="1">
        <v>4</v>
      </c>
      <c r="Q10" s="1">
        <f t="shared" si="2"/>
        <v>6400</v>
      </c>
      <c r="R10" s="1">
        <v>2</v>
      </c>
      <c r="S10" s="1">
        <f t="shared" si="3"/>
        <v>3200</v>
      </c>
    </row>
    <row r="11" spans="1:21">
      <c r="A11" s="1">
        <f t="shared" si="4"/>
        <v>9</v>
      </c>
      <c r="B11" s="1">
        <v>39562812</v>
      </c>
      <c r="C11" s="1" t="s">
        <v>91</v>
      </c>
      <c r="D11" s="1" t="s">
        <v>12</v>
      </c>
      <c r="E11" s="1">
        <v>2</v>
      </c>
      <c r="F11" s="24">
        <v>2789</v>
      </c>
      <c r="G11" s="37">
        <v>40920</v>
      </c>
      <c r="H11" s="37">
        <v>40928</v>
      </c>
      <c r="I11" s="12">
        <v>360</v>
      </c>
      <c r="J11" s="1">
        <v>80</v>
      </c>
      <c r="K11" s="1">
        <v>20</v>
      </c>
      <c r="L11" s="13">
        <f t="shared" si="0"/>
        <v>4500</v>
      </c>
      <c r="M11" s="1">
        <f t="shared" si="1"/>
        <v>1600</v>
      </c>
      <c r="N11" s="1">
        <v>624</v>
      </c>
      <c r="O11" s="1">
        <v>189.99999999999997</v>
      </c>
      <c r="P11" s="1">
        <v>4</v>
      </c>
      <c r="Q11" s="1">
        <f t="shared" si="2"/>
        <v>6400</v>
      </c>
      <c r="R11" s="1">
        <v>2</v>
      </c>
      <c r="S11" s="1">
        <f t="shared" si="3"/>
        <v>3200</v>
      </c>
    </row>
    <row r="12" spans="1:21">
      <c r="A12" s="1">
        <f t="shared" si="4"/>
        <v>10</v>
      </c>
      <c r="B12" s="1">
        <v>39562813</v>
      </c>
      <c r="C12" s="1" t="s">
        <v>91</v>
      </c>
      <c r="D12" s="1" t="s">
        <v>12</v>
      </c>
      <c r="E12" s="1">
        <v>2</v>
      </c>
      <c r="F12" s="24">
        <v>456</v>
      </c>
      <c r="G12" s="37">
        <v>40920</v>
      </c>
      <c r="H12" s="37">
        <v>40928</v>
      </c>
      <c r="I12" s="12">
        <v>360</v>
      </c>
      <c r="J12" s="1">
        <v>80</v>
      </c>
      <c r="K12" s="1">
        <v>20</v>
      </c>
      <c r="L12" s="13">
        <f t="shared" si="0"/>
        <v>4500</v>
      </c>
      <c r="M12" s="1">
        <f t="shared" si="1"/>
        <v>1600</v>
      </c>
      <c r="N12" s="1">
        <v>624</v>
      </c>
      <c r="O12" s="1">
        <v>189.99999999999997</v>
      </c>
      <c r="P12" s="1">
        <v>4</v>
      </c>
      <c r="Q12" s="1">
        <f t="shared" si="2"/>
        <v>6400</v>
      </c>
      <c r="R12" s="1">
        <v>2</v>
      </c>
      <c r="S12" s="1">
        <f t="shared" si="3"/>
        <v>3200</v>
      </c>
    </row>
    <row r="13" spans="1:21">
      <c r="A13" s="1">
        <f t="shared" si="4"/>
        <v>11</v>
      </c>
      <c r="B13" s="1">
        <v>39595272</v>
      </c>
      <c r="C13" s="1" t="s">
        <v>123</v>
      </c>
      <c r="D13" s="1" t="s">
        <v>11</v>
      </c>
      <c r="E13" s="1">
        <v>1</v>
      </c>
      <c r="F13" s="24">
        <v>5551</v>
      </c>
      <c r="G13" s="37">
        <v>40920</v>
      </c>
      <c r="H13" s="37">
        <v>40927</v>
      </c>
      <c r="I13" s="12">
        <v>360</v>
      </c>
      <c r="J13" s="1">
        <v>80</v>
      </c>
      <c r="K13" s="1">
        <v>20</v>
      </c>
      <c r="L13" s="13">
        <f t="shared" si="0"/>
        <v>9000</v>
      </c>
      <c r="M13" s="1">
        <f t="shared" si="1"/>
        <v>1600</v>
      </c>
      <c r="N13" s="1">
        <v>877.50000000000011</v>
      </c>
      <c r="O13" s="1">
        <v>300</v>
      </c>
      <c r="P13" s="1">
        <v>4</v>
      </c>
      <c r="Q13" s="1">
        <f t="shared" si="2"/>
        <v>6400</v>
      </c>
      <c r="R13" s="1">
        <v>2</v>
      </c>
      <c r="S13" s="1">
        <f t="shared" si="3"/>
        <v>3200</v>
      </c>
    </row>
    <row r="14" spans="1:21">
      <c r="A14" s="1">
        <f t="shared" si="4"/>
        <v>12</v>
      </c>
      <c r="B14" s="1">
        <v>39563264</v>
      </c>
      <c r="C14" s="1" t="s">
        <v>123</v>
      </c>
      <c r="D14" s="1" t="s">
        <v>11</v>
      </c>
      <c r="E14" s="1">
        <v>1</v>
      </c>
      <c r="F14" s="24">
        <v>44174</v>
      </c>
      <c r="G14" s="37">
        <v>40919</v>
      </c>
      <c r="H14" s="37">
        <v>40926</v>
      </c>
      <c r="I14" s="12">
        <v>360</v>
      </c>
      <c r="J14" s="1">
        <v>80</v>
      </c>
      <c r="K14" s="1">
        <v>20</v>
      </c>
      <c r="L14" s="13">
        <f t="shared" si="0"/>
        <v>9000</v>
      </c>
      <c r="M14" s="1">
        <f t="shared" si="1"/>
        <v>1600</v>
      </c>
      <c r="N14" s="1">
        <v>877.50000000000011</v>
      </c>
      <c r="O14" s="1">
        <v>300</v>
      </c>
      <c r="P14" s="1">
        <v>4</v>
      </c>
      <c r="Q14" s="1">
        <f t="shared" si="2"/>
        <v>6400</v>
      </c>
      <c r="R14" s="1">
        <v>2</v>
      </c>
      <c r="S14" s="1">
        <f t="shared" si="3"/>
        <v>3200</v>
      </c>
    </row>
    <row r="15" spans="1:21">
      <c r="A15" s="1">
        <f t="shared" si="4"/>
        <v>13</v>
      </c>
      <c r="B15" s="1">
        <v>39569474</v>
      </c>
      <c r="C15" s="1" t="s">
        <v>92</v>
      </c>
      <c r="D15" s="1" t="s">
        <v>12</v>
      </c>
      <c r="E15" s="1">
        <v>2</v>
      </c>
      <c r="F15" s="24">
        <v>4557</v>
      </c>
      <c r="G15" s="37">
        <v>40920</v>
      </c>
      <c r="H15" s="37">
        <v>40928</v>
      </c>
      <c r="I15" s="12">
        <v>360</v>
      </c>
      <c r="J15" s="1">
        <v>80</v>
      </c>
      <c r="K15" s="1">
        <v>20</v>
      </c>
      <c r="L15" s="13">
        <f t="shared" si="0"/>
        <v>4500</v>
      </c>
      <c r="M15" s="1">
        <f t="shared" si="1"/>
        <v>1600</v>
      </c>
      <c r="N15" s="1">
        <v>624</v>
      </c>
      <c r="O15" s="1">
        <v>189.99999999999997</v>
      </c>
      <c r="P15" s="1">
        <v>4</v>
      </c>
      <c r="Q15" s="1">
        <f t="shared" si="2"/>
        <v>6400</v>
      </c>
      <c r="R15" s="1">
        <v>2</v>
      </c>
      <c r="S15" s="1">
        <f t="shared" si="3"/>
        <v>3200</v>
      </c>
    </row>
    <row r="16" spans="1:21">
      <c r="A16" s="1">
        <f t="shared" si="4"/>
        <v>14</v>
      </c>
      <c r="B16" s="1">
        <v>39561050</v>
      </c>
      <c r="C16" s="1" t="s">
        <v>92</v>
      </c>
      <c r="D16" s="1" t="s">
        <v>12</v>
      </c>
      <c r="E16" s="1">
        <v>2</v>
      </c>
      <c r="F16" s="24">
        <v>1471</v>
      </c>
      <c r="G16" s="37">
        <v>40920</v>
      </c>
      <c r="H16" s="37">
        <v>40928</v>
      </c>
      <c r="I16" s="12">
        <v>360</v>
      </c>
      <c r="J16" s="1">
        <v>80</v>
      </c>
      <c r="K16" s="1">
        <v>20</v>
      </c>
      <c r="L16" s="13">
        <f t="shared" si="0"/>
        <v>4500</v>
      </c>
      <c r="M16" s="1">
        <f t="shared" si="1"/>
        <v>1600</v>
      </c>
      <c r="N16" s="1">
        <v>624</v>
      </c>
      <c r="O16" s="1">
        <v>189.99999999999997</v>
      </c>
      <c r="P16" s="1">
        <v>4</v>
      </c>
      <c r="Q16" s="1">
        <f t="shared" si="2"/>
        <v>6400</v>
      </c>
      <c r="R16" s="1">
        <v>2</v>
      </c>
      <c r="S16" s="1">
        <f t="shared" si="3"/>
        <v>3200</v>
      </c>
    </row>
    <row r="17" spans="1:19">
      <c r="A17" s="1">
        <f t="shared" si="4"/>
        <v>15</v>
      </c>
      <c r="B17" s="1">
        <v>39566658</v>
      </c>
      <c r="C17" s="1" t="s">
        <v>124</v>
      </c>
      <c r="D17" s="1" t="s">
        <v>11</v>
      </c>
      <c r="E17" s="1">
        <v>1</v>
      </c>
      <c r="F17" s="24">
        <v>117023</v>
      </c>
      <c r="G17" s="37">
        <v>40922</v>
      </c>
      <c r="H17" s="37">
        <v>40929</v>
      </c>
      <c r="I17" s="12">
        <v>360</v>
      </c>
      <c r="J17" s="1">
        <v>80</v>
      </c>
      <c r="K17" s="1">
        <v>20</v>
      </c>
      <c r="L17" s="13">
        <f t="shared" si="0"/>
        <v>9000</v>
      </c>
      <c r="M17" s="1">
        <f t="shared" si="1"/>
        <v>1600</v>
      </c>
      <c r="N17" s="1">
        <v>877.50000000000011</v>
      </c>
      <c r="O17" s="1">
        <v>300</v>
      </c>
      <c r="P17" s="1">
        <v>4</v>
      </c>
      <c r="Q17" s="1">
        <f t="shared" si="2"/>
        <v>6400</v>
      </c>
      <c r="R17" s="1">
        <v>2</v>
      </c>
      <c r="S17" s="1">
        <f t="shared" si="3"/>
        <v>3200</v>
      </c>
    </row>
    <row r="18" spans="1:19">
      <c r="A18" s="1">
        <f t="shared" si="4"/>
        <v>16</v>
      </c>
      <c r="B18" s="1">
        <v>39567074</v>
      </c>
      <c r="C18" s="1" t="s">
        <v>125</v>
      </c>
      <c r="D18" s="1" t="s">
        <v>11</v>
      </c>
      <c r="E18" s="1">
        <v>1</v>
      </c>
      <c r="F18" s="24">
        <v>47843</v>
      </c>
      <c r="G18" s="37">
        <v>40919</v>
      </c>
      <c r="H18" s="37">
        <v>40926</v>
      </c>
      <c r="I18" s="12">
        <v>360</v>
      </c>
      <c r="J18" s="1">
        <v>80</v>
      </c>
      <c r="K18" s="1">
        <v>20</v>
      </c>
      <c r="L18" s="13">
        <f t="shared" si="0"/>
        <v>9000</v>
      </c>
      <c r="M18" s="1">
        <f t="shared" si="1"/>
        <v>1600</v>
      </c>
      <c r="N18" s="1">
        <v>877.50000000000011</v>
      </c>
      <c r="O18" s="1">
        <v>300</v>
      </c>
      <c r="P18" s="1">
        <v>4</v>
      </c>
      <c r="Q18" s="1">
        <f t="shared" si="2"/>
        <v>6400</v>
      </c>
      <c r="R18" s="1">
        <v>2</v>
      </c>
      <c r="S18" s="1">
        <f t="shared" si="3"/>
        <v>3200</v>
      </c>
    </row>
    <row r="19" spans="1:19">
      <c r="A19" s="1">
        <f t="shared" si="4"/>
        <v>17</v>
      </c>
      <c r="B19" s="1">
        <v>39595271</v>
      </c>
      <c r="C19" s="1" t="s">
        <v>125</v>
      </c>
      <c r="D19" s="1" t="s">
        <v>11</v>
      </c>
      <c r="E19" s="1">
        <v>1</v>
      </c>
      <c r="F19" s="24">
        <v>105051</v>
      </c>
      <c r="G19" s="37">
        <v>40920</v>
      </c>
      <c r="H19" s="37">
        <v>40927</v>
      </c>
      <c r="I19" s="12">
        <v>360</v>
      </c>
      <c r="J19" s="1">
        <v>80</v>
      </c>
      <c r="K19" s="1">
        <v>20</v>
      </c>
      <c r="L19" s="13">
        <f t="shared" si="0"/>
        <v>9000</v>
      </c>
      <c r="M19" s="1">
        <f t="shared" si="1"/>
        <v>1600</v>
      </c>
      <c r="N19" s="1">
        <v>877.50000000000011</v>
      </c>
      <c r="O19" s="1">
        <v>300</v>
      </c>
      <c r="P19" s="1">
        <v>4</v>
      </c>
      <c r="Q19" s="1">
        <f t="shared" si="2"/>
        <v>6400</v>
      </c>
      <c r="R19" s="1">
        <v>2</v>
      </c>
      <c r="S19" s="1">
        <f t="shared" si="3"/>
        <v>3200</v>
      </c>
    </row>
    <row r="20" spans="1:19">
      <c r="A20" s="1">
        <f t="shared" si="4"/>
        <v>18</v>
      </c>
      <c r="B20" s="1">
        <v>39565177</v>
      </c>
      <c r="C20" s="1" t="s">
        <v>125</v>
      </c>
      <c r="D20" s="1" t="s">
        <v>11</v>
      </c>
      <c r="E20" s="1">
        <v>1</v>
      </c>
      <c r="F20" s="24">
        <v>7658</v>
      </c>
      <c r="G20" s="37">
        <v>40922</v>
      </c>
      <c r="H20" s="37">
        <v>40929</v>
      </c>
      <c r="I20" s="12">
        <v>360</v>
      </c>
      <c r="J20" s="1">
        <v>80</v>
      </c>
      <c r="K20" s="1">
        <v>20</v>
      </c>
      <c r="L20" s="13">
        <f t="shared" si="0"/>
        <v>9000</v>
      </c>
      <c r="M20" s="1">
        <f t="shared" si="1"/>
        <v>1600</v>
      </c>
      <c r="N20" s="1">
        <v>877.50000000000011</v>
      </c>
      <c r="O20" s="1">
        <v>300</v>
      </c>
      <c r="P20" s="1">
        <v>4</v>
      </c>
      <c r="Q20" s="1">
        <f t="shared" si="2"/>
        <v>6400</v>
      </c>
      <c r="R20" s="1">
        <v>2</v>
      </c>
      <c r="S20" s="1">
        <f t="shared" si="3"/>
        <v>3200</v>
      </c>
    </row>
    <row r="21" spans="1:19">
      <c r="A21" s="1">
        <f t="shared" si="4"/>
        <v>19</v>
      </c>
      <c r="B21" s="1">
        <v>39555434</v>
      </c>
      <c r="C21" s="1" t="s">
        <v>125</v>
      </c>
      <c r="D21" s="1" t="s">
        <v>11</v>
      </c>
      <c r="E21" s="1">
        <v>1</v>
      </c>
      <c r="F21" s="24">
        <v>48143</v>
      </c>
      <c r="G21" s="37">
        <v>40917</v>
      </c>
      <c r="H21" s="37">
        <v>40924</v>
      </c>
      <c r="I21" s="12">
        <v>360</v>
      </c>
      <c r="J21" s="1">
        <v>80</v>
      </c>
      <c r="K21" s="1">
        <v>20</v>
      </c>
      <c r="L21" s="13">
        <f t="shared" si="0"/>
        <v>9000</v>
      </c>
      <c r="M21" s="1">
        <f t="shared" si="1"/>
        <v>1600</v>
      </c>
      <c r="N21" s="1">
        <v>877.50000000000011</v>
      </c>
      <c r="O21" s="1">
        <v>300</v>
      </c>
      <c r="P21" s="1">
        <v>4</v>
      </c>
      <c r="Q21" s="1">
        <f t="shared" si="2"/>
        <v>6400</v>
      </c>
      <c r="R21" s="1">
        <v>2</v>
      </c>
      <c r="S21" s="1">
        <f t="shared" si="3"/>
        <v>3200</v>
      </c>
    </row>
    <row r="22" spans="1:19">
      <c r="A22" s="1">
        <f t="shared" si="4"/>
        <v>20</v>
      </c>
      <c r="B22" s="1">
        <v>39560115</v>
      </c>
      <c r="C22" s="1" t="s">
        <v>93</v>
      </c>
      <c r="D22" s="1" t="s">
        <v>12</v>
      </c>
      <c r="E22" s="1">
        <v>2</v>
      </c>
      <c r="F22" s="24">
        <v>750</v>
      </c>
      <c r="G22" s="37">
        <v>40919</v>
      </c>
      <c r="H22" s="37">
        <v>40927</v>
      </c>
      <c r="I22" s="12">
        <v>360</v>
      </c>
      <c r="J22" s="1">
        <v>80</v>
      </c>
      <c r="K22" s="1">
        <v>20</v>
      </c>
      <c r="L22" s="13">
        <f t="shared" si="0"/>
        <v>4500</v>
      </c>
      <c r="M22" s="1">
        <f t="shared" si="1"/>
        <v>1600</v>
      </c>
      <c r="N22" s="1">
        <v>624</v>
      </c>
      <c r="O22" s="1">
        <v>189.99999999999997</v>
      </c>
      <c r="P22" s="1">
        <v>4</v>
      </c>
      <c r="Q22" s="1">
        <f t="shared" si="2"/>
        <v>6400</v>
      </c>
      <c r="R22" s="1">
        <v>2</v>
      </c>
      <c r="S22" s="1">
        <f t="shared" si="3"/>
        <v>3200</v>
      </c>
    </row>
    <row r="23" spans="1:19">
      <c r="A23" s="1">
        <f t="shared" si="4"/>
        <v>21</v>
      </c>
      <c r="B23" s="1">
        <v>39569317</v>
      </c>
      <c r="C23" s="1" t="s">
        <v>93</v>
      </c>
      <c r="D23" s="1" t="s">
        <v>12</v>
      </c>
      <c r="E23" s="1">
        <v>2</v>
      </c>
      <c r="F23" s="24">
        <v>95178</v>
      </c>
      <c r="G23" s="37">
        <v>40920</v>
      </c>
      <c r="H23" s="37">
        <v>40928</v>
      </c>
      <c r="I23" s="12">
        <v>360</v>
      </c>
      <c r="J23" s="1">
        <v>80</v>
      </c>
      <c r="K23" s="1">
        <v>20</v>
      </c>
      <c r="L23" s="13">
        <f t="shared" si="0"/>
        <v>4500</v>
      </c>
      <c r="M23" s="1">
        <f t="shared" si="1"/>
        <v>1600</v>
      </c>
      <c r="N23" s="1">
        <v>624</v>
      </c>
      <c r="O23" s="1">
        <v>189.99999999999997</v>
      </c>
      <c r="P23" s="1">
        <v>4</v>
      </c>
      <c r="Q23" s="1">
        <f t="shared" si="2"/>
        <v>6400</v>
      </c>
      <c r="R23" s="1">
        <v>2</v>
      </c>
      <c r="S23" s="1">
        <f t="shared" si="3"/>
        <v>3200</v>
      </c>
    </row>
    <row r="24" spans="1:19">
      <c r="A24" s="1">
        <f t="shared" si="4"/>
        <v>22</v>
      </c>
      <c r="B24" s="1">
        <v>39558072</v>
      </c>
      <c r="C24" s="1" t="s">
        <v>126</v>
      </c>
      <c r="D24" s="1" t="s">
        <v>11</v>
      </c>
      <c r="E24" s="1">
        <v>1</v>
      </c>
      <c r="F24" s="24">
        <v>35511</v>
      </c>
      <c r="G24" s="37">
        <v>40919</v>
      </c>
      <c r="H24" s="37">
        <v>40926</v>
      </c>
      <c r="I24" s="12">
        <v>700</v>
      </c>
      <c r="J24" s="1">
        <v>80</v>
      </c>
      <c r="K24" s="1">
        <v>20</v>
      </c>
      <c r="L24" s="13">
        <f t="shared" si="0"/>
        <v>17500</v>
      </c>
      <c r="M24" s="1">
        <f t="shared" si="1"/>
        <v>1600</v>
      </c>
      <c r="N24" s="1">
        <v>944.18604651162798</v>
      </c>
      <c r="O24" s="1">
        <v>360</v>
      </c>
      <c r="P24" s="1">
        <v>4</v>
      </c>
      <c r="Q24" s="1">
        <f t="shared" si="2"/>
        <v>6400</v>
      </c>
      <c r="R24" s="1">
        <v>2</v>
      </c>
      <c r="S24" s="1">
        <f t="shared" si="3"/>
        <v>3200</v>
      </c>
    </row>
    <row r="25" spans="1:19">
      <c r="A25" s="1">
        <f t="shared" si="4"/>
        <v>23</v>
      </c>
      <c r="B25" s="1">
        <v>39558055</v>
      </c>
      <c r="C25" s="1" t="s">
        <v>126</v>
      </c>
      <c r="D25" s="1" t="s">
        <v>11</v>
      </c>
      <c r="E25" s="1">
        <v>1</v>
      </c>
      <c r="F25" s="24">
        <v>371815</v>
      </c>
      <c r="G25" s="37">
        <v>40917</v>
      </c>
      <c r="H25" s="37">
        <v>40924</v>
      </c>
      <c r="I25" s="12">
        <v>700</v>
      </c>
      <c r="J25" s="1">
        <v>80</v>
      </c>
      <c r="K25" s="1">
        <v>20</v>
      </c>
      <c r="L25" s="13">
        <f t="shared" si="0"/>
        <v>17500</v>
      </c>
      <c r="M25" s="1">
        <f t="shared" si="1"/>
        <v>1600</v>
      </c>
      <c r="N25" s="1">
        <v>944.18604651162798</v>
      </c>
      <c r="O25" s="1">
        <v>360</v>
      </c>
      <c r="P25" s="1">
        <v>4</v>
      </c>
      <c r="Q25" s="1">
        <f t="shared" si="2"/>
        <v>6400</v>
      </c>
      <c r="R25" s="1">
        <v>2</v>
      </c>
      <c r="S25" s="1">
        <f t="shared" si="3"/>
        <v>3200</v>
      </c>
    </row>
    <row r="26" spans="1:19">
      <c r="A26" s="1">
        <f t="shared" si="4"/>
        <v>24</v>
      </c>
      <c r="B26" s="1">
        <v>39560857</v>
      </c>
      <c r="C26" s="1" t="s">
        <v>126</v>
      </c>
      <c r="D26" s="1" t="s">
        <v>11</v>
      </c>
      <c r="E26" s="1">
        <v>1</v>
      </c>
      <c r="F26" s="24">
        <v>234905</v>
      </c>
      <c r="G26" s="37">
        <v>40921</v>
      </c>
      <c r="H26" s="37">
        <v>40928</v>
      </c>
      <c r="I26" s="12">
        <v>700</v>
      </c>
      <c r="J26" s="1">
        <v>80</v>
      </c>
      <c r="K26" s="1">
        <v>20</v>
      </c>
      <c r="L26" s="13">
        <f t="shared" si="0"/>
        <v>17500</v>
      </c>
      <c r="M26" s="1">
        <f t="shared" si="1"/>
        <v>1600</v>
      </c>
      <c r="N26" s="1">
        <v>944.18604651162798</v>
      </c>
      <c r="O26" s="1">
        <v>360</v>
      </c>
      <c r="P26" s="1">
        <v>4</v>
      </c>
      <c r="Q26" s="1">
        <f t="shared" si="2"/>
        <v>6400</v>
      </c>
      <c r="R26" s="1">
        <v>2</v>
      </c>
      <c r="S26" s="1">
        <f t="shared" si="3"/>
        <v>3200</v>
      </c>
    </row>
    <row r="27" spans="1:19">
      <c r="A27" s="1">
        <f t="shared" si="4"/>
        <v>25</v>
      </c>
      <c r="B27" s="1">
        <v>39563025</v>
      </c>
      <c r="C27" s="1" t="s">
        <v>126</v>
      </c>
      <c r="D27" s="1" t="s">
        <v>11</v>
      </c>
      <c r="E27" s="1">
        <v>1</v>
      </c>
      <c r="F27" s="24">
        <v>20644</v>
      </c>
      <c r="G27" s="37">
        <v>40920</v>
      </c>
      <c r="H27" s="37">
        <v>40927</v>
      </c>
      <c r="I27" s="12">
        <v>700</v>
      </c>
      <c r="J27" s="1">
        <v>80</v>
      </c>
      <c r="K27" s="1">
        <v>20</v>
      </c>
      <c r="L27" s="13">
        <f t="shared" si="0"/>
        <v>17500</v>
      </c>
      <c r="M27" s="1">
        <f t="shared" si="1"/>
        <v>1600</v>
      </c>
      <c r="N27" s="1">
        <v>944.18604651162798</v>
      </c>
      <c r="O27" s="1">
        <v>360</v>
      </c>
      <c r="P27" s="1">
        <v>4</v>
      </c>
      <c r="Q27" s="1">
        <f t="shared" si="2"/>
        <v>6400</v>
      </c>
      <c r="R27" s="1">
        <v>2</v>
      </c>
      <c r="S27" s="1">
        <f t="shared" si="3"/>
        <v>3200</v>
      </c>
    </row>
    <row r="28" spans="1:19">
      <c r="A28" s="1">
        <f t="shared" si="4"/>
        <v>26</v>
      </c>
      <c r="B28" s="1">
        <v>39567055</v>
      </c>
      <c r="C28" s="1" t="s">
        <v>126</v>
      </c>
      <c r="D28" s="1" t="s">
        <v>11</v>
      </c>
      <c r="E28" s="1">
        <v>1</v>
      </c>
      <c r="F28" s="24">
        <v>77335</v>
      </c>
      <c r="G28" s="37">
        <v>40918</v>
      </c>
      <c r="H28" s="37">
        <v>40925</v>
      </c>
      <c r="I28" s="12">
        <v>700</v>
      </c>
      <c r="J28" s="1">
        <v>80</v>
      </c>
      <c r="K28" s="1">
        <v>20</v>
      </c>
      <c r="L28" s="13">
        <f t="shared" si="0"/>
        <v>17500</v>
      </c>
      <c r="M28" s="1">
        <f t="shared" si="1"/>
        <v>1600</v>
      </c>
      <c r="N28" s="1">
        <v>944.18604651162798</v>
      </c>
      <c r="O28" s="1">
        <v>360</v>
      </c>
      <c r="P28" s="1">
        <v>4</v>
      </c>
      <c r="Q28" s="1">
        <f t="shared" si="2"/>
        <v>6400</v>
      </c>
      <c r="R28" s="1">
        <v>2</v>
      </c>
      <c r="S28" s="1">
        <f t="shared" si="3"/>
        <v>3200</v>
      </c>
    </row>
    <row r="29" spans="1:19">
      <c r="A29" s="1">
        <f t="shared" si="4"/>
        <v>27</v>
      </c>
      <c r="B29" s="1">
        <v>39762319</v>
      </c>
      <c r="C29" s="1" t="s">
        <v>42</v>
      </c>
      <c r="D29" s="1" t="s">
        <v>11</v>
      </c>
      <c r="E29" s="1">
        <v>1</v>
      </c>
      <c r="F29" s="24">
        <v>100010</v>
      </c>
      <c r="G29" s="37">
        <v>40920</v>
      </c>
      <c r="H29" s="37">
        <v>40927</v>
      </c>
      <c r="I29" s="12">
        <v>700</v>
      </c>
      <c r="J29" s="1">
        <v>80</v>
      </c>
      <c r="K29" s="1">
        <v>20</v>
      </c>
      <c r="L29" s="13">
        <f t="shared" si="0"/>
        <v>17500</v>
      </c>
      <c r="M29" s="1">
        <f t="shared" si="1"/>
        <v>1600</v>
      </c>
      <c r="N29" s="1">
        <v>944.18604651162798</v>
      </c>
      <c r="O29" s="1">
        <v>360</v>
      </c>
      <c r="P29" s="1">
        <v>4</v>
      </c>
      <c r="Q29" s="1">
        <f t="shared" si="2"/>
        <v>6400</v>
      </c>
      <c r="R29" s="1">
        <v>2</v>
      </c>
      <c r="S29" s="1">
        <f t="shared" si="3"/>
        <v>3200</v>
      </c>
    </row>
    <row r="30" spans="1:19">
      <c r="A30" s="1">
        <f t="shared" si="4"/>
        <v>28</v>
      </c>
      <c r="B30" s="1">
        <v>39567749</v>
      </c>
      <c r="C30" s="1" t="s">
        <v>133</v>
      </c>
      <c r="D30" s="1" t="s">
        <v>11</v>
      </c>
      <c r="E30" s="1">
        <v>1</v>
      </c>
      <c r="F30" s="24">
        <v>20000</v>
      </c>
      <c r="G30" s="37">
        <v>40920</v>
      </c>
      <c r="H30" s="37">
        <v>40927</v>
      </c>
      <c r="I30" s="12">
        <v>520</v>
      </c>
      <c r="J30" s="1">
        <v>80</v>
      </c>
      <c r="K30" s="1">
        <v>20</v>
      </c>
      <c r="L30" s="13">
        <f t="shared" si="0"/>
        <v>13000</v>
      </c>
      <c r="M30" s="1">
        <f t="shared" si="1"/>
        <v>1600</v>
      </c>
      <c r="N30" s="1">
        <v>944</v>
      </c>
      <c r="O30" s="1">
        <v>300</v>
      </c>
      <c r="P30" s="1">
        <v>4</v>
      </c>
      <c r="Q30" s="1">
        <f t="shared" si="2"/>
        <v>6400</v>
      </c>
      <c r="R30" s="1">
        <v>2</v>
      </c>
      <c r="S30" s="1">
        <f t="shared" si="3"/>
        <v>3200</v>
      </c>
    </row>
    <row r="31" spans="1:19">
      <c r="A31" s="1">
        <f t="shared" si="4"/>
        <v>29</v>
      </c>
      <c r="B31" s="1">
        <v>39569147</v>
      </c>
      <c r="C31" s="1" t="s">
        <v>127</v>
      </c>
      <c r="D31" s="1" t="s">
        <v>11</v>
      </c>
      <c r="E31" s="1">
        <v>1</v>
      </c>
      <c r="F31" s="24">
        <v>371727</v>
      </c>
      <c r="G31" s="37">
        <v>40919</v>
      </c>
      <c r="H31" s="37">
        <v>40926</v>
      </c>
      <c r="I31" s="12">
        <v>700</v>
      </c>
      <c r="J31" s="1">
        <v>80</v>
      </c>
      <c r="K31" s="1">
        <v>20</v>
      </c>
      <c r="L31" s="13">
        <f t="shared" si="0"/>
        <v>17500</v>
      </c>
      <c r="M31" s="1">
        <f t="shared" si="1"/>
        <v>1600</v>
      </c>
      <c r="N31" s="1">
        <v>944.18604651162798</v>
      </c>
      <c r="O31" s="1">
        <v>360</v>
      </c>
      <c r="P31" s="1">
        <v>4</v>
      </c>
      <c r="Q31" s="1">
        <f t="shared" si="2"/>
        <v>6400</v>
      </c>
      <c r="R31" s="1">
        <v>2</v>
      </c>
      <c r="S31" s="1">
        <f t="shared" si="3"/>
        <v>3200</v>
      </c>
    </row>
    <row r="32" spans="1:19">
      <c r="A32" s="1">
        <f t="shared" si="4"/>
        <v>30</v>
      </c>
      <c r="B32" s="1">
        <v>39756647</v>
      </c>
      <c r="C32" s="1" t="s">
        <v>127</v>
      </c>
      <c r="D32" s="1" t="s">
        <v>11</v>
      </c>
      <c r="E32" s="1">
        <v>1</v>
      </c>
      <c r="F32" s="24">
        <v>139708</v>
      </c>
      <c r="G32" s="37">
        <v>40919</v>
      </c>
      <c r="H32" s="37">
        <v>40926</v>
      </c>
      <c r="I32" s="12">
        <v>700</v>
      </c>
      <c r="J32" s="1">
        <v>80</v>
      </c>
      <c r="K32" s="1">
        <v>20</v>
      </c>
      <c r="L32" s="13">
        <f t="shared" si="0"/>
        <v>17500</v>
      </c>
      <c r="M32" s="1">
        <f t="shared" si="1"/>
        <v>1600</v>
      </c>
      <c r="N32" s="1">
        <v>944.18604651162798</v>
      </c>
      <c r="O32" s="1">
        <v>360</v>
      </c>
      <c r="P32" s="1">
        <v>4</v>
      </c>
      <c r="Q32" s="1">
        <f t="shared" si="2"/>
        <v>6400</v>
      </c>
      <c r="R32" s="1">
        <v>2</v>
      </c>
      <c r="S32" s="1">
        <f t="shared" si="3"/>
        <v>3200</v>
      </c>
    </row>
    <row r="33" spans="1:19">
      <c r="A33" s="1">
        <f t="shared" si="4"/>
        <v>31</v>
      </c>
      <c r="B33" s="1">
        <v>39566996</v>
      </c>
      <c r="C33" s="1" t="s">
        <v>127</v>
      </c>
      <c r="D33" s="1" t="s">
        <v>11</v>
      </c>
      <c r="E33" s="1">
        <v>1</v>
      </c>
      <c r="F33" s="24">
        <v>505100</v>
      </c>
      <c r="G33" s="37">
        <v>40921</v>
      </c>
      <c r="H33" s="37">
        <v>40928</v>
      </c>
      <c r="I33" s="12">
        <v>700</v>
      </c>
      <c r="J33" s="1">
        <v>80</v>
      </c>
      <c r="K33" s="1">
        <v>20</v>
      </c>
      <c r="L33" s="13">
        <f t="shared" si="0"/>
        <v>17500</v>
      </c>
      <c r="M33" s="1">
        <f t="shared" si="1"/>
        <v>1600</v>
      </c>
      <c r="N33" s="1">
        <v>944.18604651162798</v>
      </c>
      <c r="O33" s="1">
        <v>360</v>
      </c>
      <c r="P33" s="1">
        <v>4</v>
      </c>
      <c r="Q33" s="1">
        <f t="shared" si="2"/>
        <v>6400</v>
      </c>
      <c r="R33" s="1">
        <v>2</v>
      </c>
      <c r="S33" s="1">
        <f t="shared" si="3"/>
        <v>3200</v>
      </c>
    </row>
    <row r="34" spans="1:19">
      <c r="A34" s="1">
        <f t="shared" si="4"/>
        <v>32</v>
      </c>
      <c r="B34" s="1">
        <v>39567165</v>
      </c>
      <c r="C34" s="1" t="s">
        <v>127</v>
      </c>
      <c r="D34" s="1" t="s">
        <v>11</v>
      </c>
      <c r="E34" s="1">
        <v>1</v>
      </c>
      <c r="F34" s="24">
        <v>132989</v>
      </c>
      <c r="G34" s="37">
        <v>40920</v>
      </c>
      <c r="H34" s="37">
        <v>40927</v>
      </c>
      <c r="I34" s="12">
        <v>700</v>
      </c>
      <c r="J34" s="1">
        <v>80</v>
      </c>
      <c r="K34" s="1">
        <v>20</v>
      </c>
      <c r="L34" s="13">
        <f t="shared" si="0"/>
        <v>17500</v>
      </c>
      <c r="M34" s="1">
        <f t="shared" si="1"/>
        <v>1600</v>
      </c>
      <c r="N34" s="1">
        <v>944.18604651162798</v>
      </c>
      <c r="O34" s="1">
        <v>360</v>
      </c>
      <c r="P34" s="1">
        <v>4</v>
      </c>
      <c r="Q34" s="1">
        <f t="shared" si="2"/>
        <v>6400</v>
      </c>
      <c r="R34" s="1">
        <v>2</v>
      </c>
      <c r="S34" s="1">
        <f t="shared" si="3"/>
        <v>3200</v>
      </c>
    </row>
    <row r="35" spans="1:19">
      <c r="A35" s="1">
        <f t="shared" si="4"/>
        <v>33</v>
      </c>
      <c r="B35" s="1">
        <v>39595269</v>
      </c>
      <c r="C35" s="1" t="s">
        <v>94</v>
      </c>
      <c r="D35" s="1" t="s">
        <v>11</v>
      </c>
      <c r="E35" s="1">
        <v>1</v>
      </c>
      <c r="F35" s="24">
        <v>20202</v>
      </c>
      <c r="G35" s="37">
        <v>40920</v>
      </c>
      <c r="H35" s="37">
        <v>40928</v>
      </c>
      <c r="I35" s="12">
        <v>700</v>
      </c>
      <c r="J35" s="1">
        <v>80</v>
      </c>
      <c r="K35" s="1">
        <v>20</v>
      </c>
      <c r="L35" s="13">
        <f t="shared" ref="L35:L66" si="5">I35*25/E35</f>
        <v>17500</v>
      </c>
      <c r="M35" s="1">
        <f t="shared" ref="M35:M66" si="6">K35*J35</f>
        <v>1600</v>
      </c>
      <c r="N35" s="1">
        <v>944.18604651162798</v>
      </c>
      <c r="O35" s="1">
        <v>360</v>
      </c>
      <c r="P35" s="1">
        <v>4</v>
      </c>
      <c r="Q35" s="1">
        <f t="shared" ref="Q35:Q66" si="7">P35*M35</f>
        <v>6400</v>
      </c>
      <c r="R35" s="1">
        <v>2</v>
      </c>
      <c r="S35" s="1">
        <f t="shared" ref="S35:S66" si="8">M35*R35</f>
        <v>3200</v>
      </c>
    </row>
    <row r="36" spans="1:19">
      <c r="A36" s="1">
        <f t="shared" si="4"/>
        <v>34</v>
      </c>
      <c r="B36" s="1">
        <v>39562476</v>
      </c>
      <c r="C36" s="1" t="s">
        <v>96</v>
      </c>
      <c r="D36" s="1" t="s">
        <v>12</v>
      </c>
      <c r="E36" s="1">
        <v>2</v>
      </c>
      <c r="F36" s="24">
        <v>10000</v>
      </c>
      <c r="G36" s="37">
        <v>40920</v>
      </c>
      <c r="H36" s="37">
        <v>40929</v>
      </c>
      <c r="I36" s="12">
        <v>700</v>
      </c>
      <c r="J36" s="1">
        <v>80</v>
      </c>
      <c r="K36" s="1">
        <v>20</v>
      </c>
      <c r="L36" s="13">
        <f t="shared" si="5"/>
        <v>8750</v>
      </c>
      <c r="M36" s="1">
        <f t="shared" si="6"/>
        <v>1600</v>
      </c>
      <c r="N36" s="1">
        <v>646.15384615384608</v>
      </c>
      <c r="O36" s="1">
        <v>150</v>
      </c>
      <c r="P36" s="1">
        <v>4</v>
      </c>
      <c r="Q36" s="1">
        <f t="shared" si="7"/>
        <v>6400</v>
      </c>
      <c r="R36" s="1">
        <v>2</v>
      </c>
      <c r="S36" s="1">
        <f t="shared" si="8"/>
        <v>3200</v>
      </c>
    </row>
    <row r="37" spans="1:19">
      <c r="A37" s="1">
        <f t="shared" si="4"/>
        <v>35</v>
      </c>
      <c r="B37" s="1">
        <v>39555445</v>
      </c>
      <c r="C37" s="1" t="s">
        <v>73</v>
      </c>
      <c r="D37" s="1" t="s">
        <v>74</v>
      </c>
      <c r="E37" s="1">
        <v>2</v>
      </c>
      <c r="F37" s="24">
        <v>3320</v>
      </c>
      <c r="G37" s="37">
        <v>40917</v>
      </c>
      <c r="H37" s="37">
        <v>40927</v>
      </c>
      <c r="I37" s="12">
        <v>360</v>
      </c>
      <c r="J37" s="1">
        <v>40</v>
      </c>
      <c r="K37" s="1">
        <v>20</v>
      </c>
      <c r="L37" s="13">
        <f t="shared" si="5"/>
        <v>4500</v>
      </c>
      <c r="M37" s="1">
        <f t="shared" si="6"/>
        <v>800</v>
      </c>
      <c r="N37" s="1">
        <v>682.0512820512821</v>
      </c>
      <c r="O37" s="1">
        <v>75</v>
      </c>
      <c r="P37" s="1">
        <v>4</v>
      </c>
      <c r="Q37" s="1">
        <f t="shared" si="7"/>
        <v>3200</v>
      </c>
      <c r="R37" s="1">
        <v>2</v>
      </c>
      <c r="S37" s="1">
        <f t="shared" si="8"/>
        <v>1600</v>
      </c>
    </row>
    <row r="38" spans="1:19">
      <c r="A38" s="1">
        <f t="shared" si="4"/>
        <v>36</v>
      </c>
      <c r="B38" s="1">
        <v>39569477</v>
      </c>
      <c r="C38" s="1" t="s">
        <v>13</v>
      </c>
      <c r="D38" s="1" t="s">
        <v>10</v>
      </c>
      <c r="E38" s="1">
        <v>4</v>
      </c>
      <c r="F38" s="24">
        <v>50000</v>
      </c>
      <c r="G38" s="37">
        <v>40919</v>
      </c>
      <c r="H38" s="37">
        <v>40934</v>
      </c>
      <c r="I38" s="12">
        <v>270</v>
      </c>
      <c r="J38" s="1">
        <v>48</v>
      </c>
      <c r="K38" s="1">
        <v>10</v>
      </c>
      <c r="L38" s="13">
        <f t="shared" si="5"/>
        <v>1687.5</v>
      </c>
      <c r="M38" s="1">
        <f t="shared" si="6"/>
        <v>480</v>
      </c>
      <c r="N38" s="1">
        <v>219.99999999999997</v>
      </c>
      <c r="O38" s="1">
        <v>80</v>
      </c>
      <c r="P38" s="1">
        <v>2</v>
      </c>
      <c r="Q38" s="1">
        <f t="shared" si="7"/>
        <v>960</v>
      </c>
      <c r="R38" s="1">
        <v>2</v>
      </c>
      <c r="S38" s="1">
        <f t="shared" si="8"/>
        <v>960</v>
      </c>
    </row>
    <row r="39" spans="1:19">
      <c r="A39" s="1">
        <f t="shared" si="4"/>
        <v>37</v>
      </c>
      <c r="B39" s="1">
        <v>39564506</v>
      </c>
      <c r="C39" s="1" t="s">
        <v>14</v>
      </c>
      <c r="D39" s="1" t="s">
        <v>15</v>
      </c>
      <c r="E39" s="1">
        <v>8</v>
      </c>
      <c r="F39" s="24">
        <v>45000</v>
      </c>
      <c r="G39" s="37">
        <v>40920</v>
      </c>
      <c r="H39" s="37">
        <v>40935</v>
      </c>
      <c r="I39" s="12">
        <v>270</v>
      </c>
      <c r="J39" s="1">
        <v>48</v>
      </c>
      <c r="K39" s="1">
        <v>10</v>
      </c>
      <c r="L39" s="13">
        <f t="shared" si="5"/>
        <v>843.75</v>
      </c>
      <c r="M39" s="1">
        <f t="shared" si="6"/>
        <v>480</v>
      </c>
      <c r="N39" s="1">
        <v>90</v>
      </c>
      <c r="O39" s="1">
        <v>35</v>
      </c>
      <c r="P39" s="1">
        <v>1</v>
      </c>
      <c r="Q39" s="1">
        <f t="shared" si="7"/>
        <v>480</v>
      </c>
      <c r="R39" s="1">
        <v>1</v>
      </c>
      <c r="S39" s="1">
        <f t="shared" si="8"/>
        <v>480</v>
      </c>
    </row>
    <row r="40" spans="1:19">
      <c r="A40" s="1">
        <f t="shared" si="4"/>
        <v>38</v>
      </c>
      <c r="B40" s="1">
        <v>39558090</v>
      </c>
      <c r="C40" s="1" t="s">
        <v>24</v>
      </c>
      <c r="D40" s="1" t="s">
        <v>10</v>
      </c>
      <c r="E40" s="1">
        <v>4</v>
      </c>
      <c r="F40" s="24">
        <v>2400</v>
      </c>
      <c r="G40" s="37">
        <v>40919</v>
      </c>
      <c r="H40" s="37">
        <v>40932</v>
      </c>
      <c r="I40" s="12">
        <v>360</v>
      </c>
      <c r="J40" s="1">
        <v>48</v>
      </c>
      <c r="K40" s="1">
        <v>10</v>
      </c>
      <c r="L40" s="13">
        <f t="shared" si="5"/>
        <v>2250</v>
      </c>
      <c r="M40" s="1">
        <f t="shared" si="6"/>
        <v>480</v>
      </c>
      <c r="N40" s="1">
        <v>219.99999999999997</v>
      </c>
      <c r="O40" s="1">
        <v>160</v>
      </c>
      <c r="P40" s="1">
        <v>2</v>
      </c>
      <c r="Q40" s="1">
        <f t="shared" si="7"/>
        <v>960</v>
      </c>
      <c r="R40" s="1">
        <v>2</v>
      </c>
      <c r="S40" s="1">
        <f t="shared" si="8"/>
        <v>960</v>
      </c>
    </row>
    <row r="41" spans="1:19">
      <c r="A41" s="1">
        <f t="shared" si="4"/>
        <v>39</v>
      </c>
      <c r="B41" s="1">
        <v>39564402</v>
      </c>
      <c r="C41" s="1" t="s">
        <v>109</v>
      </c>
      <c r="D41" s="1" t="s">
        <v>110</v>
      </c>
      <c r="E41" s="1">
        <v>2</v>
      </c>
      <c r="F41" s="24">
        <v>5000</v>
      </c>
      <c r="G41" s="37">
        <v>40919</v>
      </c>
      <c r="H41" s="37">
        <v>40929</v>
      </c>
      <c r="I41" s="12">
        <v>270</v>
      </c>
      <c r="J41" s="1">
        <v>48</v>
      </c>
      <c r="K41" s="1">
        <v>20</v>
      </c>
      <c r="L41" s="13">
        <f t="shared" si="5"/>
        <v>3375</v>
      </c>
      <c r="M41" s="1">
        <f t="shared" si="6"/>
        <v>960</v>
      </c>
      <c r="N41" s="1">
        <v>1200</v>
      </c>
      <c r="O41" s="1">
        <v>150</v>
      </c>
      <c r="P41" s="1">
        <v>4</v>
      </c>
      <c r="Q41" s="1">
        <f t="shared" si="7"/>
        <v>3840</v>
      </c>
      <c r="R41" s="1">
        <v>2</v>
      </c>
      <c r="S41" s="1">
        <f t="shared" si="8"/>
        <v>1920</v>
      </c>
    </row>
    <row r="42" spans="1:19">
      <c r="A42" s="1">
        <f t="shared" si="4"/>
        <v>40</v>
      </c>
      <c r="B42" s="1">
        <v>39568485</v>
      </c>
      <c r="C42" s="1" t="s">
        <v>111</v>
      </c>
      <c r="D42" s="1" t="s">
        <v>10</v>
      </c>
      <c r="E42" s="1">
        <v>4</v>
      </c>
      <c r="F42" s="24">
        <v>90000</v>
      </c>
      <c r="G42" s="37">
        <v>40922</v>
      </c>
      <c r="H42" s="37">
        <v>40940</v>
      </c>
      <c r="I42" s="12">
        <v>290</v>
      </c>
      <c r="J42" s="1">
        <v>48</v>
      </c>
      <c r="K42" s="1">
        <v>10</v>
      </c>
      <c r="L42" s="13">
        <f t="shared" si="5"/>
        <v>1812.5</v>
      </c>
      <c r="M42" s="1">
        <f t="shared" si="6"/>
        <v>480</v>
      </c>
      <c r="N42" s="1">
        <v>219.99999999999997</v>
      </c>
      <c r="O42" s="1">
        <v>130</v>
      </c>
      <c r="P42" s="1">
        <v>2</v>
      </c>
      <c r="Q42" s="1">
        <f t="shared" si="7"/>
        <v>960</v>
      </c>
      <c r="R42" s="1">
        <v>2</v>
      </c>
      <c r="S42" s="1">
        <f t="shared" si="8"/>
        <v>960</v>
      </c>
    </row>
    <row r="43" spans="1:19">
      <c r="A43" s="1">
        <f t="shared" si="4"/>
        <v>41</v>
      </c>
      <c r="B43" s="1">
        <v>39557906</v>
      </c>
      <c r="C43" s="1" t="s">
        <v>112</v>
      </c>
      <c r="D43" s="1" t="s">
        <v>110</v>
      </c>
      <c r="E43" s="1">
        <v>2</v>
      </c>
      <c r="F43" s="24">
        <v>550000</v>
      </c>
      <c r="G43" s="37">
        <v>40917</v>
      </c>
      <c r="H43" s="37">
        <v>40927</v>
      </c>
      <c r="I43" s="12">
        <v>556</v>
      </c>
      <c r="J43" s="1">
        <v>48</v>
      </c>
      <c r="K43" s="1">
        <v>20</v>
      </c>
      <c r="L43" s="13">
        <f t="shared" si="5"/>
        <v>6950</v>
      </c>
      <c r="M43" s="1">
        <f t="shared" si="6"/>
        <v>960</v>
      </c>
      <c r="N43" s="1">
        <v>1200</v>
      </c>
      <c r="O43" s="1">
        <v>150</v>
      </c>
      <c r="P43" s="1">
        <v>4</v>
      </c>
      <c r="Q43" s="1">
        <f t="shared" si="7"/>
        <v>3840</v>
      </c>
      <c r="R43" s="1">
        <v>2</v>
      </c>
      <c r="S43" s="1">
        <f t="shared" si="8"/>
        <v>1920</v>
      </c>
    </row>
    <row r="44" spans="1:19">
      <c r="A44" s="1">
        <f t="shared" si="4"/>
        <v>42</v>
      </c>
      <c r="B44" s="1">
        <v>39558833</v>
      </c>
      <c r="C44" s="1" t="s">
        <v>113</v>
      </c>
      <c r="D44" s="1" t="s">
        <v>114</v>
      </c>
      <c r="E44" s="1">
        <v>2</v>
      </c>
      <c r="F44" s="24">
        <v>400000</v>
      </c>
      <c r="G44" s="37">
        <v>40923</v>
      </c>
      <c r="H44" s="37">
        <v>40936</v>
      </c>
      <c r="I44" s="12">
        <v>290</v>
      </c>
      <c r="J44" s="1">
        <v>48</v>
      </c>
      <c r="K44" s="1">
        <v>20</v>
      </c>
      <c r="L44" s="13">
        <f t="shared" si="5"/>
        <v>3625</v>
      </c>
      <c r="M44" s="1">
        <f t="shared" si="6"/>
        <v>960</v>
      </c>
      <c r="N44" s="1">
        <v>1200</v>
      </c>
      <c r="O44" s="1">
        <v>230</v>
      </c>
      <c r="P44" s="1">
        <v>4</v>
      </c>
      <c r="Q44" s="1">
        <f t="shared" si="7"/>
        <v>3840</v>
      </c>
      <c r="R44" s="1">
        <v>2</v>
      </c>
      <c r="S44" s="1">
        <f t="shared" si="8"/>
        <v>1920</v>
      </c>
    </row>
    <row r="45" spans="1:19">
      <c r="A45" s="1">
        <f t="shared" si="4"/>
        <v>43</v>
      </c>
      <c r="B45" s="1">
        <v>39767524</v>
      </c>
      <c r="C45" s="1" t="s">
        <v>75</v>
      </c>
      <c r="D45" s="1" t="s">
        <v>7</v>
      </c>
      <c r="E45" s="1">
        <v>1</v>
      </c>
      <c r="F45" s="24">
        <v>42244</v>
      </c>
      <c r="G45" s="37">
        <v>40920</v>
      </c>
      <c r="H45" s="37">
        <v>40928</v>
      </c>
      <c r="I45" s="12">
        <v>480</v>
      </c>
      <c r="J45" s="1">
        <v>72</v>
      </c>
      <c r="K45" s="1">
        <v>20</v>
      </c>
      <c r="L45" s="13">
        <f t="shared" si="5"/>
        <v>12000</v>
      </c>
      <c r="M45" s="1">
        <f t="shared" si="6"/>
        <v>1440</v>
      </c>
      <c r="N45" s="1">
        <v>944.18604651162798</v>
      </c>
      <c r="O45" s="1">
        <v>215</v>
      </c>
      <c r="P45" s="1">
        <v>4</v>
      </c>
      <c r="Q45" s="1">
        <f t="shared" si="7"/>
        <v>5760</v>
      </c>
      <c r="R45" s="1">
        <v>2</v>
      </c>
      <c r="S45" s="1">
        <f t="shared" si="8"/>
        <v>2880</v>
      </c>
    </row>
    <row r="46" spans="1:19">
      <c r="A46" s="1">
        <f t="shared" si="4"/>
        <v>44</v>
      </c>
      <c r="B46" s="1">
        <v>39568476</v>
      </c>
      <c r="C46" s="1" t="s">
        <v>75</v>
      </c>
      <c r="D46" s="1" t="s">
        <v>7</v>
      </c>
      <c r="E46" s="1">
        <v>1</v>
      </c>
      <c r="F46" s="24">
        <v>7597</v>
      </c>
      <c r="G46" s="37">
        <v>40920</v>
      </c>
      <c r="H46" s="37">
        <v>40928</v>
      </c>
      <c r="I46" s="12">
        <v>480</v>
      </c>
      <c r="J46" s="1">
        <v>72</v>
      </c>
      <c r="K46" s="1">
        <v>20</v>
      </c>
      <c r="L46" s="13">
        <f t="shared" si="5"/>
        <v>12000</v>
      </c>
      <c r="M46" s="1">
        <f t="shared" si="6"/>
        <v>1440</v>
      </c>
      <c r="N46" s="1">
        <v>944.18604651162798</v>
      </c>
      <c r="O46" s="1">
        <v>215</v>
      </c>
      <c r="P46" s="1">
        <v>4</v>
      </c>
      <c r="Q46" s="1">
        <f t="shared" si="7"/>
        <v>5760</v>
      </c>
      <c r="R46" s="1">
        <v>2</v>
      </c>
      <c r="S46" s="1">
        <f t="shared" si="8"/>
        <v>2880</v>
      </c>
    </row>
    <row r="47" spans="1:19">
      <c r="A47" s="1">
        <f t="shared" si="4"/>
        <v>45</v>
      </c>
      <c r="B47" s="1">
        <v>39566775</v>
      </c>
      <c r="C47" s="1" t="s">
        <v>75</v>
      </c>
      <c r="D47" s="1" t="s">
        <v>7</v>
      </c>
      <c r="E47" s="1">
        <v>1</v>
      </c>
      <c r="F47" s="24">
        <v>75165</v>
      </c>
      <c r="G47" s="37">
        <v>40919</v>
      </c>
      <c r="H47" s="37">
        <v>40927</v>
      </c>
      <c r="I47" s="12">
        <v>480</v>
      </c>
      <c r="J47" s="1">
        <v>72</v>
      </c>
      <c r="K47" s="1">
        <v>20</v>
      </c>
      <c r="L47" s="13">
        <f t="shared" si="5"/>
        <v>12000</v>
      </c>
      <c r="M47" s="1">
        <f t="shared" si="6"/>
        <v>1440</v>
      </c>
      <c r="N47" s="1">
        <v>944.18604651162798</v>
      </c>
      <c r="O47" s="1">
        <v>215</v>
      </c>
      <c r="P47" s="1">
        <v>4</v>
      </c>
      <c r="Q47" s="1">
        <f t="shared" si="7"/>
        <v>5760</v>
      </c>
      <c r="R47" s="1">
        <v>2</v>
      </c>
      <c r="S47" s="1">
        <f t="shared" si="8"/>
        <v>2880</v>
      </c>
    </row>
    <row r="48" spans="1:19">
      <c r="A48" s="1">
        <f t="shared" si="4"/>
        <v>46</v>
      </c>
      <c r="B48" s="1">
        <v>39595260</v>
      </c>
      <c r="C48" s="1" t="s">
        <v>76</v>
      </c>
      <c r="D48" s="1" t="s">
        <v>3</v>
      </c>
      <c r="E48" s="1">
        <v>4</v>
      </c>
      <c r="F48" s="24">
        <v>35109</v>
      </c>
      <c r="G48" s="37">
        <v>40920</v>
      </c>
      <c r="H48" s="37">
        <v>40933</v>
      </c>
      <c r="I48" s="12">
        <v>480</v>
      </c>
      <c r="J48" s="1">
        <v>72</v>
      </c>
      <c r="K48" s="1">
        <v>10</v>
      </c>
      <c r="L48" s="13">
        <f t="shared" si="5"/>
        <v>3000</v>
      </c>
      <c r="M48" s="1">
        <f t="shared" si="6"/>
        <v>720</v>
      </c>
      <c r="N48" s="1">
        <v>190.12345679012344</v>
      </c>
      <c r="O48" s="1">
        <v>85</v>
      </c>
      <c r="P48" s="1">
        <v>2</v>
      </c>
      <c r="Q48" s="1">
        <f t="shared" si="7"/>
        <v>1440</v>
      </c>
      <c r="R48" s="1">
        <v>2</v>
      </c>
      <c r="S48" s="1">
        <f t="shared" si="8"/>
        <v>1440</v>
      </c>
    </row>
    <row r="49" spans="1:19">
      <c r="A49" s="1">
        <f t="shared" si="4"/>
        <v>47</v>
      </c>
      <c r="B49" s="1">
        <v>39767526</v>
      </c>
      <c r="C49" s="1" t="s">
        <v>76</v>
      </c>
      <c r="D49" s="1" t="s">
        <v>3</v>
      </c>
      <c r="E49" s="1">
        <v>4</v>
      </c>
      <c r="F49" s="24">
        <v>8954</v>
      </c>
      <c r="G49" s="37">
        <v>40920</v>
      </c>
      <c r="H49" s="37">
        <v>40933</v>
      </c>
      <c r="I49" s="12">
        <v>480</v>
      </c>
      <c r="J49" s="1">
        <v>72</v>
      </c>
      <c r="K49" s="1">
        <v>10</v>
      </c>
      <c r="L49" s="13">
        <f t="shared" si="5"/>
        <v>3000</v>
      </c>
      <c r="M49" s="1">
        <f t="shared" si="6"/>
        <v>720</v>
      </c>
      <c r="N49" s="1">
        <v>190.12345679012344</v>
      </c>
      <c r="O49" s="1">
        <v>85</v>
      </c>
      <c r="P49" s="1">
        <v>2</v>
      </c>
      <c r="Q49" s="1">
        <f t="shared" si="7"/>
        <v>1440</v>
      </c>
      <c r="R49" s="1">
        <v>2</v>
      </c>
      <c r="S49" s="1">
        <f t="shared" si="8"/>
        <v>1440</v>
      </c>
    </row>
    <row r="50" spans="1:19">
      <c r="A50" s="1">
        <f t="shared" si="4"/>
        <v>48</v>
      </c>
      <c r="B50" s="1">
        <v>39762322</v>
      </c>
      <c r="C50" s="1" t="s">
        <v>4</v>
      </c>
      <c r="D50" s="1" t="s">
        <v>5</v>
      </c>
      <c r="E50" s="1">
        <v>1</v>
      </c>
      <c r="F50" s="24">
        <v>30000</v>
      </c>
      <c r="G50" s="37">
        <v>40920</v>
      </c>
      <c r="H50" s="37">
        <v>40928</v>
      </c>
      <c r="I50" s="12">
        <v>860</v>
      </c>
      <c r="J50" s="1">
        <v>80</v>
      </c>
      <c r="K50" s="1">
        <v>20</v>
      </c>
      <c r="L50" s="13">
        <f t="shared" si="5"/>
        <v>21500</v>
      </c>
      <c r="M50" s="1">
        <f t="shared" si="6"/>
        <v>1600</v>
      </c>
      <c r="N50" s="1">
        <v>944.18604651162798</v>
      </c>
      <c r="O50" s="1">
        <v>310</v>
      </c>
      <c r="P50" s="1">
        <v>4</v>
      </c>
      <c r="Q50" s="1">
        <f t="shared" si="7"/>
        <v>6400</v>
      </c>
      <c r="R50" s="1">
        <v>2</v>
      </c>
      <c r="S50" s="1">
        <f t="shared" si="8"/>
        <v>3200</v>
      </c>
    </row>
    <row r="51" spans="1:19">
      <c r="A51" s="1">
        <f t="shared" si="4"/>
        <v>49</v>
      </c>
      <c r="B51" s="1">
        <v>39597246</v>
      </c>
      <c r="C51" s="1" t="s">
        <v>115</v>
      </c>
      <c r="D51" s="1" t="s">
        <v>7</v>
      </c>
      <c r="E51" s="1">
        <v>1</v>
      </c>
      <c r="F51" s="24">
        <v>20515</v>
      </c>
      <c r="G51" s="37">
        <v>40920</v>
      </c>
      <c r="H51" s="37">
        <v>40926</v>
      </c>
      <c r="I51" s="12">
        <v>360</v>
      </c>
      <c r="J51" s="1">
        <v>72</v>
      </c>
      <c r="K51" s="1">
        <v>20</v>
      </c>
      <c r="L51" s="13">
        <f t="shared" si="5"/>
        <v>9000</v>
      </c>
      <c r="M51" s="1">
        <f t="shared" si="6"/>
        <v>1440</v>
      </c>
      <c r="N51" s="1">
        <v>897.61904761904771</v>
      </c>
      <c r="O51" s="1">
        <v>200</v>
      </c>
      <c r="P51" s="1">
        <v>4</v>
      </c>
      <c r="Q51" s="1">
        <f t="shared" si="7"/>
        <v>5760</v>
      </c>
      <c r="R51" s="1">
        <v>2</v>
      </c>
      <c r="S51" s="1">
        <f t="shared" si="8"/>
        <v>2880</v>
      </c>
    </row>
    <row r="52" spans="1:19">
      <c r="A52" s="1">
        <f t="shared" si="4"/>
        <v>50</v>
      </c>
      <c r="B52" s="1">
        <v>39595257</v>
      </c>
      <c r="C52" s="1" t="s">
        <v>77</v>
      </c>
      <c r="D52" s="1" t="s">
        <v>78</v>
      </c>
      <c r="E52" s="1">
        <v>1</v>
      </c>
      <c r="F52" s="24">
        <v>30924</v>
      </c>
      <c r="G52" s="37">
        <v>40920</v>
      </c>
      <c r="H52" s="37">
        <v>40928</v>
      </c>
      <c r="I52" s="12">
        <v>556</v>
      </c>
      <c r="J52" s="1">
        <v>80</v>
      </c>
      <c r="K52" s="1">
        <v>20</v>
      </c>
      <c r="L52" s="13">
        <f t="shared" si="5"/>
        <v>13900</v>
      </c>
      <c r="M52" s="1">
        <f t="shared" si="6"/>
        <v>1600</v>
      </c>
      <c r="N52" s="1">
        <v>944.18604651162798</v>
      </c>
      <c r="O52" s="1">
        <v>310</v>
      </c>
      <c r="P52" s="1">
        <v>4</v>
      </c>
      <c r="Q52" s="1">
        <f t="shared" si="7"/>
        <v>6400</v>
      </c>
      <c r="R52" s="1">
        <v>2</v>
      </c>
      <c r="S52" s="1">
        <f t="shared" si="8"/>
        <v>3200</v>
      </c>
    </row>
    <row r="53" spans="1:19">
      <c r="A53" s="1">
        <f t="shared" si="4"/>
        <v>51</v>
      </c>
      <c r="B53" s="1">
        <v>39762320</v>
      </c>
      <c r="C53" s="1" t="s">
        <v>116</v>
      </c>
      <c r="D53" s="1" t="s">
        <v>78</v>
      </c>
      <c r="E53" s="1">
        <v>1</v>
      </c>
      <c r="F53" s="24">
        <v>11535</v>
      </c>
      <c r="G53" s="37">
        <v>40920</v>
      </c>
      <c r="H53" s="37">
        <v>40928</v>
      </c>
      <c r="I53" s="12">
        <v>556</v>
      </c>
      <c r="J53" s="1">
        <v>80</v>
      </c>
      <c r="K53" s="1">
        <v>20</v>
      </c>
      <c r="L53" s="13">
        <f t="shared" si="5"/>
        <v>13900</v>
      </c>
      <c r="M53" s="1">
        <f t="shared" si="6"/>
        <v>1600</v>
      </c>
      <c r="N53" s="1">
        <v>944.18604651162798</v>
      </c>
      <c r="O53" s="1">
        <v>310</v>
      </c>
      <c r="P53" s="1">
        <v>4</v>
      </c>
      <c r="Q53" s="1">
        <f t="shared" si="7"/>
        <v>6400</v>
      </c>
      <c r="R53" s="1">
        <v>2</v>
      </c>
      <c r="S53" s="1">
        <f t="shared" si="8"/>
        <v>3200</v>
      </c>
    </row>
    <row r="54" spans="1:19">
      <c r="A54" s="1">
        <f t="shared" si="4"/>
        <v>52</v>
      </c>
      <c r="B54" s="1">
        <v>39751840</v>
      </c>
      <c r="C54" s="1" t="s">
        <v>117</v>
      </c>
      <c r="D54" s="1" t="s">
        <v>7</v>
      </c>
      <c r="E54" s="1">
        <v>2</v>
      </c>
      <c r="F54" s="24">
        <v>2000</v>
      </c>
      <c r="G54" s="37">
        <v>40918</v>
      </c>
      <c r="H54" s="37">
        <v>40927</v>
      </c>
      <c r="I54" s="12">
        <v>270</v>
      </c>
      <c r="J54" s="1">
        <v>72</v>
      </c>
      <c r="K54" s="1">
        <v>20</v>
      </c>
      <c r="L54" s="13">
        <f t="shared" si="5"/>
        <v>3375</v>
      </c>
      <c r="M54" s="1">
        <f t="shared" si="6"/>
        <v>1440</v>
      </c>
      <c r="N54" s="1">
        <v>657.41444866920165</v>
      </c>
      <c r="O54" s="1">
        <v>180</v>
      </c>
      <c r="P54" s="1">
        <v>4</v>
      </c>
      <c r="Q54" s="1">
        <f t="shared" si="7"/>
        <v>5760</v>
      </c>
      <c r="R54" s="1">
        <v>2</v>
      </c>
      <c r="S54" s="1">
        <f t="shared" si="8"/>
        <v>2880</v>
      </c>
    </row>
    <row r="55" spans="1:19">
      <c r="A55" s="1">
        <f t="shared" si="4"/>
        <v>53</v>
      </c>
      <c r="B55" s="1">
        <v>39597248</v>
      </c>
      <c r="C55" s="1" t="s">
        <v>6</v>
      </c>
      <c r="D55" s="1" t="s">
        <v>5</v>
      </c>
      <c r="E55" s="1">
        <v>1</v>
      </c>
      <c r="F55" s="24">
        <v>269556</v>
      </c>
      <c r="G55" s="37">
        <v>40920</v>
      </c>
      <c r="H55" s="37">
        <v>40928</v>
      </c>
      <c r="I55" s="12">
        <v>590</v>
      </c>
      <c r="J55" s="1">
        <v>80</v>
      </c>
      <c r="K55" s="1">
        <v>20</v>
      </c>
      <c r="L55" s="13">
        <f t="shared" si="5"/>
        <v>14750</v>
      </c>
      <c r="M55" s="1">
        <f t="shared" si="6"/>
        <v>1600</v>
      </c>
      <c r="N55" s="1">
        <v>944.18604651162798</v>
      </c>
      <c r="O55" s="1">
        <v>270</v>
      </c>
      <c r="P55" s="1">
        <v>4</v>
      </c>
      <c r="Q55" s="1">
        <f t="shared" si="7"/>
        <v>6400</v>
      </c>
      <c r="R55" s="1">
        <v>2</v>
      </c>
      <c r="S55" s="1">
        <f t="shared" si="8"/>
        <v>3200</v>
      </c>
    </row>
    <row r="56" spans="1:19">
      <c r="A56" s="1">
        <f t="shared" si="4"/>
        <v>54</v>
      </c>
      <c r="B56" s="1">
        <v>39568008</v>
      </c>
      <c r="C56" s="1" t="s">
        <v>118</v>
      </c>
      <c r="D56" s="1" t="s">
        <v>5</v>
      </c>
      <c r="E56" s="1">
        <v>1</v>
      </c>
      <c r="F56" s="24">
        <v>39130</v>
      </c>
      <c r="G56" s="37">
        <v>40920</v>
      </c>
      <c r="H56" s="37">
        <v>40928</v>
      </c>
      <c r="I56" s="12">
        <v>590</v>
      </c>
      <c r="J56" s="1">
        <v>80</v>
      </c>
      <c r="K56" s="1">
        <v>20</v>
      </c>
      <c r="L56" s="13">
        <f t="shared" si="5"/>
        <v>14750</v>
      </c>
      <c r="M56" s="1">
        <f t="shared" si="6"/>
        <v>1600</v>
      </c>
      <c r="N56" s="1">
        <v>944</v>
      </c>
      <c r="O56" s="1">
        <v>300</v>
      </c>
      <c r="P56" s="1">
        <v>4</v>
      </c>
      <c r="Q56" s="1">
        <f t="shared" si="7"/>
        <v>6400</v>
      </c>
      <c r="R56" s="1">
        <v>2</v>
      </c>
      <c r="S56" s="1">
        <f t="shared" si="8"/>
        <v>3200</v>
      </c>
    </row>
    <row r="57" spans="1:19">
      <c r="A57" s="1">
        <f t="shared" si="4"/>
        <v>55</v>
      </c>
      <c r="B57" s="1">
        <v>39549861</v>
      </c>
      <c r="C57" s="1" t="s">
        <v>118</v>
      </c>
      <c r="D57" s="1" t="s">
        <v>5</v>
      </c>
      <c r="E57" s="1">
        <v>1</v>
      </c>
      <c r="F57" s="24">
        <v>13044</v>
      </c>
      <c r="G57" s="37">
        <v>40923</v>
      </c>
      <c r="H57" s="37">
        <v>40931</v>
      </c>
      <c r="I57" s="12">
        <v>590</v>
      </c>
      <c r="J57" s="1">
        <v>80</v>
      </c>
      <c r="K57" s="1">
        <v>20</v>
      </c>
      <c r="L57" s="13">
        <f t="shared" si="5"/>
        <v>14750</v>
      </c>
      <c r="M57" s="1">
        <f t="shared" si="6"/>
        <v>1600</v>
      </c>
      <c r="N57" s="1">
        <v>944</v>
      </c>
      <c r="O57" s="1">
        <v>300</v>
      </c>
      <c r="P57" s="1">
        <v>4</v>
      </c>
      <c r="Q57" s="1">
        <f t="shared" si="7"/>
        <v>6400</v>
      </c>
      <c r="R57" s="1">
        <v>2</v>
      </c>
      <c r="S57" s="1">
        <f t="shared" si="8"/>
        <v>3200</v>
      </c>
    </row>
    <row r="58" spans="1:19">
      <c r="A58" s="1">
        <f t="shared" si="4"/>
        <v>56</v>
      </c>
      <c r="B58" s="1">
        <v>39557715</v>
      </c>
      <c r="C58" s="1" t="s">
        <v>79</v>
      </c>
      <c r="D58" s="1" t="s">
        <v>7</v>
      </c>
      <c r="E58" s="1">
        <v>1</v>
      </c>
      <c r="F58" s="24">
        <v>26273</v>
      </c>
      <c r="G58" s="37">
        <v>40917</v>
      </c>
      <c r="H58" s="37">
        <v>40924</v>
      </c>
      <c r="I58" s="12">
        <v>360</v>
      </c>
      <c r="J58" s="1">
        <v>72</v>
      </c>
      <c r="K58" s="1">
        <v>20</v>
      </c>
      <c r="L58" s="13">
        <f t="shared" si="5"/>
        <v>9000</v>
      </c>
      <c r="M58" s="1">
        <f t="shared" si="6"/>
        <v>1440</v>
      </c>
      <c r="N58" s="1">
        <v>944</v>
      </c>
      <c r="O58" s="1">
        <v>300</v>
      </c>
      <c r="P58" s="1">
        <v>4</v>
      </c>
      <c r="Q58" s="1">
        <f t="shared" si="7"/>
        <v>5760</v>
      </c>
      <c r="R58" s="1">
        <v>2</v>
      </c>
      <c r="S58" s="1">
        <f t="shared" si="8"/>
        <v>2880</v>
      </c>
    </row>
    <row r="59" spans="1:19">
      <c r="A59" s="1">
        <f t="shared" si="4"/>
        <v>57</v>
      </c>
      <c r="B59" s="1">
        <v>39566776</v>
      </c>
      <c r="C59" s="1" t="s">
        <v>79</v>
      </c>
      <c r="D59" s="1" t="s">
        <v>7</v>
      </c>
      <c r="E59" s="1">
        <v>1</v>
      </c>
      <c r="F59" s="24">
        <v>12976</v>
      </c>
      <c r="G59" s="37">
        <v>40923</v>
      </c>
      <c r="H59" s="37">
        <v>40930</v>
      </c>
      <c r="I59" s="12">
        <v>360</v>
      </c>
      <c r="J59" s="1">
        <v>72</v>
      </c>
      <c r="K59" s="1">
        <v>20</v>
      </c>
      <c r="L59" s="13">
        <f t="shared" si="5"/>
        <v>9000</v>
      </c>
      <c r="M59" s="1">
        <f t="shared" si="6"/>
        <v>1440</v>
      </c>
      <c r="N59" s="1">
        <v>944</v>
      </c>
      <c r="O59" s="1">
        <v>300</v>
      </c>
      <c r="P59" s="1">
        <v>4</v>
      </c>
      <c r="Q59" s="1">
        <f t="shared" si="7"/>
        <v>5760</v>
      </c>
      <c r="R59" s="1">
        <v>2</v>
      </c>
      <c r="S59" s="1">
        <f t="shared" si="8"/>
        <v>2880</v>
      </c>
    </row>
    <row r="60" spans="1:19">
      <c r="A60" s="1">
        <f t="shared" si="4"/>
        <v>58</v>
      </c>
      <c r="B60" s="1">
        <v>39557303</v>
      </c>
      <c r="C60" s="1" t="s">
        <v>119</v>
      </c>
      <c r="D60" s="1" t="s">
        <v>120</v>
      </c>
      <c r="E60" s="1">
        <v>8</v>
      </c>
      <c r="F60" s="24">
        <v>2500</v>
      </c>
      <c r="G60" s="37">
        <v>40919</v>
      </c>
      <c r="H60" s="37">
        <v>40930</v>
      </c>
      <c r="I60" s="12">
        <v>360</v>
      </c>
      <c r="J60" s="1">
        <v>60</v>
      </c>
      <c r="K60" s="1">
        <v>10</v>
      </c>
      <c r="L60" s="13">
        <f t="shared" si="5"/>
        <v>1125</v>
      </c>
      <c r="M60" s="1">
        <f t="shared" si="6"/>
        <v>600</v>
      </c>
      <c r="N60" s="1">
        <v>90</v>
      </c>
      <c r="O60" s="1">
        <v>54.999999999999993</v>
      </c>
      <c r="P60" s="1">
        <v>1</v>
      </c>
      <c r="Q60" s="1">
        <f t="shared" si="7"/>
        <v>600</v>
      </c>
      <c r="R60" s="1">
        <v>1</v>
      </c>
      <c r="S60" s="1">
        <f t="shared" si="8"/>
        <v>600</v>
      </c>
    </row>
    <row r="61" spans="1:19">
      <c r="A61" s="1">
        <f t="shared" si="4"/>
        <v>59</v>
      </c>
      <c r="B61" s="1">
        <v>39565746</v>
      </c>
      <c r="C61" s="1" t="s">
        <v>80</v>
      </c>
      <c r="D61" s="1" t="s">
        <v>15</v>
      </c>
      <c r="E61" s="1">
        <v>8</v>
      </c>
      <c r="F61" s="24">
        <v>2000</v>
      </c>
      <c r="G61" s="37">
        <v>40919</v>
      </c>
      <c r="H61" s="37">
        <v>40934</v>
      </c>
      <c r="I61" s="12">
        <v>360</v>
      </c>
      <c r="J61" s="1">
        <v>48</v>
      </c>
      <c r="K61" s="1">
        <v>10</v>
      </c>
      <c r="L61" s="13">
        <f t="shared" si="5"/>
        <v>1125</v>
      </c>
      <c r="M61" s="1">
        <f t="shared" si="6"/>
        <v>480</v>
      </c>
      <c r="N61" s="1">
        <v>90</v>
      </c>
      <c r="O61" s="1">
        <v>80</v>
      </c>
      <c r="P61" s="1">
        <v>1</v>
      </c>
      <c r="Q61" s="1">
        <f t="shared" si="7"/>
        <v>480</v>
      </c>
      <c r="R61" s="1">
        <v>1</v>
      </c>
      <c r="S61" s="1">
        <f t="shared" si="8"/>
        <v>480</v>
      </c>
    </row>
    <row r="62" spans="1:19">
      <c r="A62" s="1">
        <f t="shared" si="4"/>
        <v>60</v>
      </c>
      <c r="B62" s="1">
        <v>39565815</v>
      </c>
      <c r="C62" s="1" t="s">
        <v>81</v>
      </c>
      <c r="D62" s="1" t="s">
        <v>7</v>
      </c>
      <c r="E62" s="1">
        <v>1</v>
      </c>
      <c r="F62" s="24">
        <v>15077</v>
      </c>
      <c r="G62" s="37">
        <v>40923</v>
      </c>
      <c r="H62" s="37">
        <v>40931</v>
      </c>
      <c r="I62" s="12">
        <v>480</v>
      </c>
      <c r="J62" s="1">
        <v>72</v>
      </c>
      <c r="K62" s="1">
        <v>20</v>
      </c>
      <c r="L62" s="13">
        <f t="shared" si="5"/>
        <v>12000</v>
      </c>
      <c r="M62" s="1">
        <f t="shared" si="6"/>
        <v>1440</v>
      </c>
      <c r="N62" s="1">
        <v>944</v>
      </c>
      <c r="O62" s="1">
        <v>300</v>
      </c>
      <c r="P62" s="1">
        <v>4</v>
      </c>
      <c r="Q62" s="1">
        <f t="shared" si="7"/>
        <v>5760</v>
      </c>
      <c r="R62" s="1">
        <v>2</v>
      </c>
      <c r="S62" s="1">
        <f t="shared" si="8"/>
        <v>2880</v>
      </c>
    </row>
    <row r="63" spans="1:19">
      <c r="A63" s="1">
        <f t="shared" si="4"/>
        <v>61</v>
      </c>
      <c r="B63" s="1">
        <v>39569672</v>
      </c>
      <c r="C63" s="1" t="s">
        <v>82</v>
      </c>
      <c r="D63" s="1" t="s">
        <v>3</v>
      </c>
      <c r="E63" s="1">
        <v>4</v>
      </c>
      <c r="F63" s="24">
        <v>19715</v>
      </c>
      <c r="G63" s="37">
        <v>40921</v>
      </c>
      <c r="H63" s="37">
        <v>40937</v>
      </c>
      <c r="I63" s="12">
        <v>480</v>
      </c>
      <c r="J63" s="1">
        <v>72</v>
      </c>
      <c r="K63" s="1">
        <v>10</v>
      </c>
      <c r="L63" s="13">
        <f t="shared" si="5"/>
        <v>3000</v>
      </c>
      <c r="M63" s="1">
        <f t="shared" si="6"/>
        <v>720</v>
      </c>
      <c r="N63" s="1">
        <v>190.12345679012344</v>
      </c>
      <c r="O63" s="1">
        <v>85</v>
      </c>
      <c r="P63" s="1">
        <v>2</v>
      </c>
      <c r="Q63" s="1">
        <f t="shared" si="7"/>
        <v>1440</v>
      </c>
      <c r="R63" s="1">
        <v>2</v>
      </c>
      <c r="S63" s="1">
        <f t="shared" si="8"/>
        <v>1440</v>
      </c>
    </row>
    <row r="64" spans="1:19">
      <c r="A64" s="1">
        <f t="shared" si="4"/>
        <v>62</v>
      </c>
      <c r="B64" s="1">
        <v>39563446</v>
      </c>
      <c r="C64" s="1" t="s">
        <v>82</v>
      </c>
      <c r="D64" s="1" t="s">
        <v>3</v>
      </c>
      <c r="E64" s="1">
        <v>4</v>
      </c>
      <c r="F64" s="24">
        <v>55185</v>
      </c>
      <c r="G64" s="37">
        <v>40919</v>
      </c>
      <c r="H64" s="37">
        <v>40935</v>
      </c>
      <c r="I64" s="12">
        <v>480</v>
      </c>
      <c r="J64" s="1">
        <v>72</v>
      </c>
      <c r="K64" s="1">
        <v>10</v>
      </c>
      <c r="L64" s="13">
        <f t="shared" si="5"/>
        <v>3000</v>
      </c>
      <c r="M64" s="1">
        <f t="shared" si="6"/>
        <v>720</v>
      </c>
      <c r="N64" s="1">
        <v>190.12345679012344</v>
      </c>
      <c r="O64" s="1">
        <v>85</v>
      </c>
      <c r="P64" s="1">
        <v>2</v>
      </c>
      <c r="Q64" s="1">
        <f t="shared" si="7"/>
        <v>1440</v>
      </c>
      <c r="R64" s="1">
        <v>2</v>
      </c>
      <c r="S64" s="1">
        <f t="shared" si="8"/>
        <v>1440</v>
      </c>
    </row>
    <row r="65" spans="1:19">
      <c r="A65" s="1">
        <f t="shared" si="4"/>
        <v>63</v>
      </c>
      <c r="B65" s="1">
        <v>39549836</v>
      </c>
      <c r="C65" s="1" t="s">
        <v>9</v>
      </c>
      <c r="D65" s="1" t="s">
        <v>7</v>
      </c>
      <c r="E65" s="1">
        <v>1</v>
      </c>
      <c r="F65" s="24">
        <v>44471</v>
      </c>
      <c r="G65" s="37">
        <v>40919</v>
      </c>
      <c r="H65" s="37">
        <v>40927</v>
      </c>
      <c r="I65" s="12">
        <v>290</v>
      </c>
      <c r="J65" s="1">
        <v>72</v>
      </c>
      <c r="K65" s="1">
        <v>20</v>
      </c>
      <c r="L65" s="13">
        <f t="shared" si="5"/>
        <v>7250</v>
      </c>
      <c r="M65" s="1">
        <f t="shared" si="6"/>
        <v>1440</v>
      </c>
      <c r="N65" s="1">
        <v>877.50000000000011</v>
      </c>
      <c r="O65" s="1">
        <v>300</v>
      </c>
      <c r="P65" s="1">
        <v>4</v>
      </c>
      <c r="Q65" s="1">
        <f t="shared" si="7"/>
        <v>5760</v>
      </c>
      <c r="R65" s="1">
        <v>2</v>
      </c>
      <c r="S65" s="1">
        <f t="shared" si="8"/>
        <v>2880</v>
      </c>
    </row>
    <row r="66" spans="1:19">
      <c r="A66" s="1">
        <f t="shared" si="4"/>
        <v>64</v>
      </c>
      <c r="B66" s="1">
        <v>39561718</v>
      </c>
      <c r="C66" s="1" t="s">
        <v>9</v>
      </c>
      <c r="D66" s="1" t="s">
        <v>7</v>
      </c>
      <c r="E66" s="1">
        <v>1</v>
      </c>
      <c r="F66" s="24">
        <v>26257</v>
      </c>
      <c r="G66" s="37">
        <v>40919</v>
      </c>
      <c r="H66" s="37">
        <v>40927</v>
      </c>
      <c r="I66" s="12">
        <v>290</v>
      </c>
      <c r="J66" s="1">
        <v>72</v>
      </c>
      <c r="K66" s="1">
        <v>20</v>
      </c>
      <c r="L66" s="13">
        <f t="shared" si="5"/>
        <v>7250</v>
      </c>
      <c r="M66" s="1">
        <f t="shared" si="6"/>
        <v>1440</v>
      </c>
      <c r="N66" s="1">
        <v>877.50000000000011</v>
      </c>
      <c r="O66" s="1">
        <v>300</v>
      </c>
      <c r="P66" s="1">
        <v>4</v>
      </c>
      <c r="Q66" s="1">
        <f t="shared" si="7"/>
        <v>5760</v>
      </c>
      <c r="R66" s="1">
        <v>2</v>
      </c>
      <c r="S66" s="1">
        <f t="shared" si="8"/>
        <v>2880</v>
      </c>
    </row>
    <row r="67" spans="1:19">
      <c r="A67" s="1">
        <f t="shared" si="4"/>
        <v>65</v>
      </c>
      <c r="B67" s="1">
        <v>39767525</v>
      </c>
      <c r="C67" s="1" t="s">
        <v>83</v>
      </c>
      <c r="D67" s="1" t="s">
        <v>8</v>
      </c>
      <c r="E67" s="1">
        <v>2</v>
      </c>
      <c r="F67" s="24">
        <v>18380</v>
      </c>
      <c r="G67" s="37">
        <v>40920</v>
      </c>
      <c r="H67" s="37">
        <v>40929</v>
      </c>
      <c r="I67" s="12">
        <v>290</v>
      </c>
      <c r="J67" s="1">
        <v>72</v>
      </c>
      <c r="K67" s="1">
        <v>20</v>
      </c>
      <c r="L67" s="13">
        <f t="shared" ref="L67:L98" si="9">I67*25/E67</f>
        <v>3625</v>
      </c>
      <c r="M67" s="1">
        <f t="shared" ref="M67:M98" si="10">K67*J67</f>
        <v>1440</v>
      </c>
      <c r="N67" s="1">
        <v>657.41444866920165</v>
      </c>
      <c r="O67" s="1">
        <v>180</v>
      </c>
      <c r="P67" s="1">
        <v>4</v>
      </c>
      <c r="Q67" s="1">
        <f t="shared" ref="Q67:Q98" si="11">P67*M67</f>
        <v>5760</v>
      </c>
      <c r="R67" s="1">
        <v>2</v>
      </c>
      <c r="S67" s="1">
        <f t="shared" ref="S67:S98" si="12">M67*R67</f>
        <v>2880</v>
      </c>
    </row>
    <row r="68" spans="1:19">
      <c r="A68" s="1">
        <f t="shared" si="4"/>
        <v>66</v>
      </c>
      <c r="B68" s="1">
        <v>39566724</v>
      </c>
      <c r="C68" s="1" t="s">
        <v>121</v>
      </c>
      <c r="D68" s="1" t="s">
        <v>122</v>
      </c>
      <c r="E68" s="1">
        <v>8</v>
      </c>
      <c r="F68" s="24">
        <v>3000</v>
      </c>
      <c r="G68" s="37">
        <v>40919</v>
      </c>
      <c r="H68" s="37">
        <v>40937</v>
      </c>
      <c r="I68" s="12">
        <v>360</v>
      </c>
      <c r="J68" s="1">
        <v>66</v>
      </c>
      <c r="K68" s="1">
        <v>10</v>
      </c>
      <c r="L68" s="13">
        <f t="shared" si="9"/>
        <v>1125</v>
      </c>
      <c r="M68" s="1">
        <f t="shared" si="10"/>
        <v>660</v>
      </c>
      <c r="N68" s="1">
        <v>84.56375838926175</v>
      </c>
      <c r="O68" s="1">
        <v>40</v>
      </c>
      <c r="P68" s="1">
        <v>1</v>
      </c>
      <c r="Q68" s="1">
        <f t="shared" si="11"/>
        <v>660</v>
      </c>
      <c r="R68" s="1">
        <v>1</v>
      </c>
      <c r="S68" s="1">
        <f t="shared" si="12"/>
        <v>660</v>
      </c>
    </row>
    <row r="69" spans="1:19">
      <c r="A69" s="1">
        <f t="shared" ref="A69:A132" si="13">A68+1</f>
        <v>67</v>
      </c>
      <c r="B69" s="1">
        <v>39568458</v>
      </c>
      <c r="C69" s="1" t="s">
        <v>21</v>
      </c>
      <c r="D69" s="1" t="s">
        <v>18</v>
      </c>
      <c r="E69" s="1">
        <v>4</v>
      </c>
      <c r="F69" s="24">
        <v>4340</v>
      </c>
      <c r="G69" s="37">
        <v>40923</v>
      </c>
      <c r="H69" s="37">
        <v>40936</v>
      </c>
      <c r="I69" s="12">
        <v>290</v>
      </c>
      <c r="J69" s="1">
        <v>48</v>
      </c>
      <c r="K69" s="1">
        <v>10</v>
      </c>
      <c r="L69" s="13">
        <f t="shared" si="9"/>
        <v>1812.5</v>
      </c>
      <c r="M69" s="1">
        <f t="shared" si="10"/>
        <v>480</v>
      </c>
      <c r="N69" s="1">
        <v>443.90243902439028</v>
      </c>
      <c r="O69" s="1">
        <v>109.99999999999999</v>
      </c>
      <c r="P69" s="1">
        <v>2</v>
      </c>
      <c r="Q69" s="1">
        <f t="shared" si="11"/>
        <v>960</v>
      </c>
      <c r="R69" s="1">
        <v>2</v>
      </c>
      <c r="S69" s="1">
        <f t="shared" si="12"/>
        <v>960</v>
      </c>
    </row>
    <row r="70" spans="1:19">
      <c r="A70" s="1">
        <f t="shared" si="13"/>
        <v>68</v>
      </c>
      <c r="B70" s="1">
        <v>39560584</v>
      </c>
      <c r="C70" s="1" t="s">
        <v>21</v>
      </c>
      <c r="D70" s="1" t="s">
        <v>18</v>
      </c>
      <c r="E70" s="1">
        <v>4</v>
      </c>
      <c r="F70" s="24">
        <v>1050</v>
      </c>
      <c r="G70" s="37">
        <v>40922</v>
      </c>
      <c r="H70" s="37">
        <v>40935</v>
      </c>
      <c r="I70" s="12">
        <v>290</v>
      </c>
      <c r="J70" s="1">
        <v>48</v>
      </c>
      <c r="K70" s="1">
        <v>10</v>
      </c>
      <c r="L70" s="13">
        <f t="shared" si="9"/>
        <v>1812.5</v>
      </c>
      <c r="M70" s="1">
        <f t="shared" si="10"/>
        <v>480</v>
      </c>
      <c r="N70" s="1">
        <v>443.90243902439028</v>
      </c>
      <c r="O70" s="1">
        <v>109.99999999999999</v>
      </c>
      <c r="P70" s="1">
        <v>2</v>
      </c>
      <c r="Q70" s="1">
        <f t="shared" si="11"/>
        <v>960</v>
      </c>
      <c r="R70" s="1">
        <v>2</v>
      </c>
      <c r="S70" s="1">
        <f t="shared" si="12"/>
        <v>960</v>
      </c>
    </row>
    <row r="71" spans="1:19">
      <c r="A71" s="1">
        <f t="shared" si="13"/>
        <v>69</v>
      </c>
      <c r="B71" s="1">
        <v>39559229</v>
      </c>
      <c r="C71" s="1" t="s">
        <v>21</v>
      </c>
      <c r="D71" s="1" t="s">
        <v>18</v>
      </c>
      <c r="E71" s="1">
        <v>4</v>
      </c>
      <c r="F71" s="24">
        <v>1454</v>
      </c>
      <c r="G71" s="37">
        <v>40921</v>
      </c>
      <c r="H71" s="37">
        <v>40931</v>
      </c>
      <c r="I71" s="12">
        <v>290</v>
      </c>
      <c r="J71" s="1">
        <v>48</v>
      </c>
      <c r="K71" s="1">
        <v>10</v>
      </c>
      <c r="L71" s="13">
        <f t="shared" si="9"/>
        <v>1812.5</v>
      </c>
      <c r="M71" s="1">
        <f t="shared" si="10"/>
        <v>480</v>
      </c>
      <c r="N71" s="1">
        <v>443.90243902439028</v>
      </c>
      <c r="O71" s="1">
        <v>109.99999999999999</v>
      </c>
      <c r="P71" s="1">
        <v>2</v>
      </c>
      <c r="Q71" s="1">
        <f t="shared" si="11"/>
        <v>960</v>
      </c>
      <c r="R71" s="1">
        <v>2</v>
      </c>
      <c r="S71" s="1">
        <f t="shared" si="12"/>
        <v>960</v>
      </c>
    </row>
    <row r="72" spans="1:19">
      <c r="A72" s="1">
        <f t="shared" si="13"/>
        <v>70</v>
      </c>
      <c r="B72" s="1">
        <v>39565147</v>
      </c>
      <c r="C72" s="1" t="s">
        <v>21</v>
      </c>
      <c r="D72" s="1" t="s">
        <v>18</v>
      </c>
      <c r="E72" s="1">
        <v>4</v>
      </c>
      <c r="F72" s="24">
        <v>9259</v>
      </c>
      <c r="G72" s="37">
        <v>40923</v>
      </c>
      <c r="H72" s="37">
        <v>40936</v>
      </c>
      <c r="I72" s="12">
        <v>290</v>
      </c>
      <c r="J72" s="1">
        <v>48</v>
      </c>
      <c r="K72" s="1">
        <v>10</v>
      </c>
      <c r="L72" s="13">
        <f t="shared" si="9"/>
        <v>1812.5</v>
      </c>
      <c r="M72" s="1">
        <f t="shared" si="10"/>
        <v>480</v>
      </c>
      <c r="N72" s="1">
        <v>443.90243902439028</v>
      </c>
      <c r="O72" s="1">
        <v>109.99999999999999</v>
      </c>
      <c r="P72" s="1">
        <v>2</v>
      </c>
      <c r="Q72" s="1">
        <f t="shared" si="11"/>
        <v>960</v>
      </c>
      <c r="R72" s="1">
        <v>2</v>
      </c>
      <c r="S72" s="1">
        <f t="shared" si="12"/>
        <v>960</v>
      </c>
    </row>
    <row r="73" spans="1:19">
      <c r="A73" s="1">
        <f t="shared" si="13"/>
        <v>71</v>
      </c>
      <c r="B73" s="1">
        <v>39568457</v>
      </c>
      <c r="C73" s="1" t="s">
        <v>21</v>
      </c>
      <c r="D73" s="1" t="s">
        <v>18</v>
      </c>
      <c r="E73" s="1">
        <v>4</v>
      </c>
      <c r="F73" s="24">
        <v>253</v>
      </c>
      <c r="G73" s="37">
        <v>40922</v>
      </c>
      <c r="H73" s="37">
        <v>40935</v>
      </c>
      <c r="I73" s="12">
        <v>290</v>
      </c>
      <c r="J73" s="1">
        <v>48</v>
      </c>
      <c r="K73" s="1">
        <v>10</v>
      </c>
      <c r="L73" s="13">
        <f t="shared" si="9"/>
        <v>1812.5</v>
      </c>
      <c r="M73" s="1">
        <f t="shared" si="10"/>
        <v>480</v>
      </c>
      <c r="N73" s="1">
        <v>443.90243902439028</v>
      </c>
      <c r="O73" s="1">
        <v>109.99999999999999</v>
      </c>
      <c r="P73" s="1">
        <v>2</v>
      </c>
      <c r="Q73" s="1">
        <f t="shared" si="11"/>
        <v>960</v>
      </c>
      <c r="R73" s="1">
        <v>2</v>
      </c>
      <c r="S73" s="1">
        <f t="shared" si="12"/>
        <v>960</v>
      </c>
    </row>
    <row r="74" spans="1:19">
      <c r="A74" s="1">
        <f t="shared" si="13"/>
        <v>72</v>
      </c>
      <c r="B74" s="1">
        <v>39565146</v>
      </c>
      <c r="C74" s="1" t="s">
        <v>21</v>
      </c>
      <c r="D74" s="1" t="s">
        <v>18</v>
      </c>
      <c r="E74" s="1">
        <v>4</v>
      </c>
      <c r="F74" s="24">
        <v>10060</v>
      </c>
      <c r="G74" s="37">
        <v>40921</v>
      </c>
      <c r="H74" s="37">
        <v>40931</v>
      </c>
      <c r="I74" s="12">
        <v>290</v>
      </c>
      <c r="J74" s="1">
        <v>48</v>
      </c>
      <c r="K74" s="1">
        <v>10</v>
      </c>
      <c r="L74" s="13">
        <f t="shared" si="9"/>
        <v>1812.5</v>
      </c>
      <c r="M74" s="1">
        <f t="shared" si="10"/>
        <v>480</v>
      </c>
      <c r="N74" s="1">
        <v>443.90243902439028</v>
      </c>
      <c r="O74" s="1">
        <v>109.99999999999999</v>
      </c>
      <c r="P74" s="1">
        <v>2</v>
      </c>
      <c r="Q74" s="1">
        <f t="shared" si="11"/>
        <v>960</v>
      </c>
      <c r="R74" s="1">
        <v>2</v>
      </c>
      <c r="S74" s="1">
        <f t="shared" si="12"/>
        <v>960</v>
      </c>
    </row>
    <row r="75" spans="1:19">
      <c r="A75" s="1">
        <f t="shared" si="13"/>
        <v>73</v>
      </c>
      <c r="B75" s="1">
        <v>39549842</v>
      </c>
      <c r="C75" s="1" t="s">
        <v>84</v>
      </c>
      <c r="D75" s="1" t="s">
        <v>18</v>
      </c>
      <c r="E75" s="1">
        <v>4</v>
      </c>
      <c r="F75" s="24">
        <v>804</v>
      </c>
      <c r="G75" s="37">
        <v>40923</v>
      </c>
      <c r="H75" s="37">
        <v>40936</v>
      </c>
      <c r="I75" s="12">
        <v>270</v>
      </c>
      <c r="J75" s="1">
        <v>48</v>
      </c>
      <c r="K75" s="1">
        <v>10</v>
      </c>
      <c r="L75" s="13">
        <f t="shared" si="9"/>
        <v>1687.5</v>
      </c>
      <c r="M75" s="1">
        <f t="shared" si="10"/>
        <v>480</v>
      </c>
      <c r="N75" s="1">
        <v>443.90243902439028</v>
      </c>
      <c r="O75" s="1">
        <v>109.99999999999999</v>
      </c>
      <c r="P75" s="1">
        <v>2</v>
      </c>
      <c r="Q75" s="1">
        <f t="shared" si="11"/>
        <v>960</v>
      </c>
      <c r="R75" s="1">
        <v>2</v>
      </c>
      <c r="S75" s="1">
        <f t="shared" si="12"/>
        <v>960</v>
      </c>
    </row>
    <row r="76" spans="1:19">
      <c r="A76" s="1">
        <f t="shared" si="13"/>
        <v>74</v>
      </c>
      <c r="B76" s="1">
        <v>39561599</v>
      </c>
      <c r="C76" s="1" t="s">
        <v>84</v>
      </c>
      <c r="D76" s="1" t="s">
        <v>18</v>
      </c>
      <c r="E76" s="1">
        <v>4</v>
      </c>
      <c r="F76" s="24">
        <v>8637</v>
      </c>
      <c r="G76" s="37">
        <v>40923</v>
      </c>
      <c r="H76" s="37">
        <v>40936</v>
      </c>
      <c r="I76" s="12">
        <v>270</v>
      </c>
      <c r="J76" s="1">
        <v>48</v>
      </c>
      <c r="K76" s="1">
        <v>10</v>
      </c>
      <c r="L76" s="13">
        <f t="shared" si="9"/>
        <v>1687.5</v>
      </c>
      <c r="M76" s="1">
        <f t="shared" si="10"/>
        <v>480</v>
      </c>
      <c r="N76" s="1">
        <v>443.90243902439028</v>
      </c>
      <c r="O76" s="1">
        <v>109.99999999999999</v>
      </c>
      <c r="P76" s="1">
        <v>2</v>
      </c>
      <c r="Q76" s="1">
        <f t="shared" si="11"/>
        <v>960</v>
      </c>
      <c r="R76" s="1">
        <v>2</v>
      </c>
      <c r="S76" s="1">
        <f t="shared" si="12"/>
        <v>960</v>
      </c>
    </row>
    <row r="77" spans="1:19">
      <c r="A77" s="1">
        <f t="shared" si="13"/>
        <v>75</v>
      </c>
      <c r="B77" s="1">
        <v>39566297</v>
      </c>
      <c r="C77" s="1" t="s">
        <v>84</v>
      </c>
      <c r="D77" s="1" t="s">
        <v>18</v>
      </c>
      <c r="E77" s="1">
        <v>4</v>
      </c>
      <c r="F77" s="24">
        <v>3153</v>
      </c>
      <c r="G77" s="37">
        <v>40920</v>
      </c>
      <c r="H77" s="37">
        <v>40930</v>
      </c>
      <c r="I77" s="12">
        <v>270</v>
      </c>
      <c r="J77" s="1">
        <v>48</v>
      </c>
      <c r="K77" s="1">
        <v>10</v>
      </c>
      <c r="L77" s="13">
        <f t="shared" si="9"/>
        <v>1687.5</v>
      </c>
      <c r="M77" s="1">
        <f t="shared" si="10"/>
        <v>480</v>
      </c>
      <c r="N77" s="1">
        <v>443.90243902439028</v>
      </c>
      <c r="O77" s="1">
        <v>109.99999999999999</v>
      </c>
      <c r="P77" s="1">
        <v>2</v>
      </c>
      <c r="Q77" s="1">
        <f t="shared" si="11"/>
        <v>960</v>
      </c>
      <c r="R77" s="1">
        <v>2</v>
      </c>
      <c r="S77" s="1">
        <f t="shared" si="12"/>
        <v>960</v>
      </c>
    </row>
    <row r="78" spans="1:19">
      <c r="A78" s="1">
        <f t="shared" si="13"/>
        <v>76</v>
      </c>
      <c r="B78" s="1">
        <v>39569938</v>
      </c>
      <c r="C78" s="1" t="s">
        <v>84</v>
      </c>
      <c r="D78" s="1" t="s">
        <v>18</v>
      </c>
      <c r="E78" s="1">
        <v>4</v>
      </c>
      <c r="F78" s="24">
        <v>2682</v>
      </c>
      <c r="G78" s="37">
        <v>40920</v>
      </c>
      <c r="H78" s="37">
        <v>40930</v>
      </c>
      <c r="I78" s="12">
        <v>270</v>
      </c>
      <c r="J78" s="1">
        <v>48</v>
      </c>
      <c r="K78" s="1">
        <v>10</v>
      </c>
      <c r="L78" s="13">
        <f t="shared" si="9"/>
        <v>1687.5</v>
      </c>
      <c r="M78" s="1">
        <f t="shared" si="10"/>
        <v>480</v>
      </c>
      <c r="N78" s="1">
        <v>443.90243902439028</v>
      </c>
      <c r="O78" s="1">
        <v>109.99999999999999</v>
      </c>
      <c r="P78" s="1">
        <v>2</v>
      </c>
      <c r="Q78" s="1">
        <f t="shared" si="11"/>
        <v>960</v>
      </c>
      <c r="R78" s="1">
        <v>2</v>
      </c>
      <c r="S78" s="1">
        <f t="shared" si="12"/>
        <v>960</v>
      </c>
    </row>
    <row r="79" spans="1:19">
      <c r="A79" s="1">
        <f t="shared" si="13"/>
        <v>77</v>
      </c>
      <c r="B79" s="1">
        <v>39563836</v>
      </c>
      <c r="C79" s="1" t="s">
        <v>23</v>
      </c>
      <c r="D79" s="1" t="s">
        <v>17</v>
      </c>
      <c r="E79" s="1">
        <v>2</v>
      </c>
      <c r="F79" s="24">
        <v>11382</v>
      </c>
      <c r="G79" s="37">
        <v>40919</v>
      </c>
      <c r="H79" s="37">
        <v>40926</v>
      </c>
      <c r="I79" s="12">
        <v>270</v>
      </c>
      <c r="J79" s="1">
        <v>48</v>
      </c>
      <c r="K79" s="1">
        <v>20</v>
      </c>
      <c r="L79" s="13">
        <f t="shared" si="9"/>
        <v>3375</v>
      </c>
      <c r="M79" s="1">
        <f t="shared" si="10"/>
        <v>960</v>
      </c>
      <c r="N79" s="1">
        <v>646.15384615384608</v>
      </c>
      <c r="O79" s="1">
        <v>180</v>
      </c>
      <c r="P79" s="1">
        <v>4</v>
      </c>
      <c r="Q79" s="1">
        <f t="shared" si="11"/>
        <v>3840</v>
      </c>
      <c r="R79" s="1">
        <v>2</v>
      </c>
      <c r="S79" s="1">
        <f t="shared" si="12"/>
        <v>1920</v>
      </c>
    </row>
    <row r="80" spans="1:19">
      <c r="A80" s="1">
        <f t="shared" si="13"/>
        <v>78</v>
      </c>
      <c r="B80" s="1">
        <v>39560730</v>
      </c>
      <c r="C80" s="1" t="s">
        <v>23</v>
      </c>
      <c r="D80" s="1" t="s">
        <v>17</v>
      </c>
      <c r="E80" s="1">
        <v>2</v>
      </c>
      <c r="F80" s="24">
        <v>679</v>
      </c>
      <c r="G80" s="37">
        <v>40919</v>
      </c>
      <c r="H80" s="37">
        <v>40926</v>
      </c>
      <c r="I80" s="12">
        <v>270</v>
      </c>
      <c r="J80" s="1">
        <v>48</v>
      </c>
      <c r="K80" s="1">
        <v>20</v>
      </c>
      <c r="L80" s="13">
        <f t="shared" si="9"/>
        <v>3375</v>
      </c>
      <c r="M80" s="1">
        <f t="shared" si="10"/>
        <v>960</v>
      </c>
      <c r="N80" s="1">
        <v>646.15384615384608</v>
      </c>
      <c r="O80" s="1">
        <v>180</v>
      </c>
      <c r="P80" s="1">
        <v>4</v>
      </c>
      <c r="Q80" s="1">
        <f t="shared" si="11"/>
        <v>3840</v>
      </c>
      <c r="R80" s="1">
        <v>2</v>
      </c>
      <c r="S80" s="1">
        <f t="shared" si="12"/>
        <v>1920</v>
      </c>
    </row>
    <row r="81" spans="1:19">
      <c r="A81" s="1">
        <f t="shared" si="13"/>
        <v>79</v>
      </c>
      <c r="B81" s="1">
        <v>39565028</v>
      </c>
      <c r="C81" s="1" t="s">
        <v>23</v>
      </c>
      <c r="D81" s="1" t="s">
        <v>17</v>
      </c>
      <c r="E81" s="1">
        <v>2</v>
      </c>
      <c r="F81" s="24">
        <v>452</v>
      </c>
      <c r="G81" s="37">
        <v>40922</v>
      </c>
      <c r="H81" s="37">
        <v>40929</v>
      </c>
      <c r="I81" s="12">
        <v>270</v>
      </c>
      <c r="J81" s="1">
        <v>48</v>
      </c>
      <c r="K81" s="1">
        <v>20</v>
      </c>
      <c r="L81" s="13">
        <f t="shared" si="9"/>
        <v>3375</v>
      </c>
      <c r="M81" s="1">
        <f t="shared" si="10"/>
        <v>960</v>
      </c>
      <c r="N81" s="1">
        <v>646.15384615384608</v>
      </c>
      <c r="O81" s="1">
        <v>180</v>
      </c>
      <c r="P81" s="1">
        <v>4</v>
      </c>
      <c r="Q81" s="1">
        <f t="shared" si="11"/>
        <v>3840</v>
      </c>
      <c r="R81" s="1">
        <v>2</v>
      </c>
      <c r="S81" s="1">
        <f t="shared" si="12"/>
        <v>1920</v>
      </c>
    </row>
    <row r="82" spans="1:19">
      <c r="A82" s="1">
        <f t="shared" si="13"/>
        <v>80</v>
      </c>
      <c r="B82" s="1">
        <v>39563837</v>
      </c>
      <c r="C82" s="1" t="s">
        <v>23</v>
      </c>
      <c r="D82" s="1" t="s">
        <v>17</v>
      </c>
      <c r="E82" s="1">
        <v>2</v>
      </c>
      <c r="F82" s="24">
        <v>11377</v>
      </c>
      <c r="G82" s="37">
        <v>40922</v>
      </c>
      <c r="H82" s="37">
        <v>40929</v>
      </c>
      <c r="I82" s="12">
        <v>270</v>
      </c>
      <c r="J82" s="1">
        <v>48</v>
      </c>
      <c r="K82" s="1">
        <v>20</v>
      </c>
      <c r="L82" s="13">
        <f t="shared" si="9"/>
        <v>3375</v>
      </c>
      <c r="M82" s="1">
        <f t="shared" si="10"/>
        <v>960</v>
      </c>
      <c r="N82" s="1">
        <v>646.15384615384608</v>
      </c>
      <c r="O82" s="1">
        <v>180</v>
      </c>
      <c r="P82" s="1">
        <v>4</v>
      </c>
      <c r="Q82" s="1">
        <f t="shared" si="11"/>
        <v>3840</v>
      </c>
      <c r="R82" s="1">
        <v>2</v>
      </c>
      <c r="S82" s="1">
        <f t="shared" si="12"/>
        <v>1920</v>
      </c>
    </row>
    <row r="83" spans="1:19">
      <c r="A83" s="1">
        <f t="shared" si="13"/>
        <v>81</v>
      </c>
      <c r="B83" s="1">
        <v>39563896</v>
      </c>
      <c r="C83" s="1" t="s">
        <v>22</v>
      </c>
      <c r="D83" s="1" t="s">
        <v>20</v>
      </c>
      <c r="E83" s="1">
        <v>8</v>
      </c>
      <c r="F83" s="24">
        <v>193</v>
      </c>
      <c r="G83" s="37">
        <v>40921</v>
      </c>
      <c r="H83" s="37">
        <v>40937</v>
      </c>
      <c r="I83" s="12">
        <v>270</v>
      </c>
      <c r="J83" s="1">
        <v>48</v>
      </c>
      <c r="K83" s="1">
        <v>10</v>
      </c>
      <c r="L83" s="13">
        <f t="shared" si="9"/>
        <v>843.75</v>
      </c>
      <c r="M83" s="1">
        <f t="shared" si="10"/>
        <v>480</v>
      </c>
      <c r="N83" s="1">
        <v>84.56375838926175</v>
      </c>
      <c r="O83" s="1">
        <v>60</v>
      </c>
      <c r="P83" s="1">
        <v>1</v>
      </c>
      <c r="Q83" s="1">
        <f t="shared" si="11"/>
        <v>480</v>
      </c>
      <c r="R83" s="1">
        <v>1</v>
      </c>
      <c r="S83" s="1">
        <f t="shared" si="12"/>
        <v>480</v>
      </c>
    </row>
    <row r="84" spans="1:19">
      <c r="A84" s="1">
        <f t="shared" si="13"/>
        <v>82</v>
      </c>
      <c r="B84" s="1">
        <v>39562961</v>
      </c>
      <c r="C84" s="1" t="s">
        <v>22</v>
      </c>
      <c r="D84" s="1" t="s">
        <v>20</v>
      </c>
      <c r="E84" s="1">
        <v>8</v>
      </c>
      <c r="F84" s="24">
        <v>9401</v>
      </c>
      <c r="G84" s="37">
        <v>40921</v>
      </c>
      <c r="H84" s="37">
        <v>40937</v>
      </c>
      <c r="I84" s="12">
        <v>270</v>
      </c>
      <c r="J84" s="1">
        <v>48</v>
      </c>
      <c r="K84" s="1">
        <v>10</v>
      </c>
      <c r="L84" s="13">
        <f t="shared" si="9"/>
        <v>843.75</v>
      </c>
      <c r="M84" s="1">
        <f t="shared" si="10"/>
        <v>480</v>
      </c>
      <c r="N84" s="1">
        <v>84.56375838926175</v>
      </c>
      <c r="O84" s="1">
        <v>60</v>
      </c>
      <c r="P84" s="1">
        <v>1</v>
      </c>
      <c r="Q84" s="1">
        <f t="shared" si="11"/>
        <v>480</v>
      </c>
      <c r="R84" s="1">
        <v>1</v>
      </c>
      <c r="S84" s="1">
        <f t="shared" si="12"/>
        <v>480</v>
      </c>
    </row>
    <row r="85" spans="1:19">
      <c r="A85" s="1">
        <f t="shared" si="13"/>
        <v>83</v>
      </c>
      <c r="B85" s="1">
        <v>39568261</v>
      </c>
      <c r="C85" s="1" t="s">
        <v>97</v>
      </c>
      <c r="D85" s="1" t="s">
        <v>85</v>
      </c>
      <c r="E85" s="1">
        <v>1</v>
      </c>
      <c r="F85" s="24">
        <v>1600</v>
      </c>
      <c r="G85" s="37">
        <v>40923</v>
      </c>
      <c r="H85" s="37">
        <v>40927</v>
      </c>
      <c r="I85" s="12">
        <v>610</v>
      </c>
      <c r="J85" s="1">
        <v>88</v>
      </c>
      <c r="K85" s="1">
        <v>20</v>
      </c>
      <c r="L85" s="13">
        <f t="shared" si="9"/>
        <v>15250</v>
      </c>
      <c r="M85" s="1">
        <f t="shared" si="10"/>
        <v>1760</v>
      </c>
      <c r="N85" s="1">
        <v>944.18604651162798</v>
      </c>
      <c r="O85" s="1">
        <v>300</v>
      </c>
      <c r="P85" s="1">
        <v>4</v>
      </c>
      <c r="Q85" s="1">
        <f t="shared" si="11"/>
        <v>7040</v>
      </c>
      <c r="R85" s="1">
        <v>2</v>
      </c>
      <c r="S85" s="1">
        <f t="shared" si="12"/>
        <v>3520</v>
      </c>
    </row>
    <row r="86" spans="1:19">
      <c r="A86" s="1">
        <f t="shared" si="13"/>
        <v>84</v>
      </c>
      <c r="B86" s="1">
        <v>39566545</v>
      </c>
      <c r="C86" s="1" t="s">
        <v>97</v>
      </c>
      <c r="D86" s="1" t="s">
        <v>85</v>
      </c>
      <c r="E86" s="1">
        <v>1</v>
      </c>
      <c r="F86" s="24">
        <v>3294</v>
      </c>
      <c r="G86" s="37">
        <v>40918</v>
      </c>
      <c r="H86" s="37">
        <v>40922</v>
      </c>
      <c r="I86" s="12">
        <v>610</v>
      </c>
      <c r="J86" s="1">
        <v>88</v>
      </c>
      <c r="K86" s="1">
        <v>20</v>
      </c>
      <c r="L86" s="13">
        <f t="shared" si="9"/>
        <v>15250</v>
      </c>
      <c r="M86" s="1">
        <f t="shared" si="10"/>
        <v>1760</v>
      </c>
      <c r="N86" s="1">
        <v>944.18604651162798</v>
      </c>
      <c r="O86" s="1">
        <v>300</v>
      </c>
      <c r="P86" s="1">
        <v>4</v>
      </c>
      <c r="Q86" s="1">
        <f t="shared" si="11"/>
        <v>7040</v>
      </c>
      <c r="R86" s="1">
        <v>2</v>
      </c>
      <c r="S86" s="1">
        <f t="shared" si="12"/>
        <v>3520</v>
      </c>
    </row>
    <row r="87" spans="1:19">
      <c r="A87" s="1">
        <f t="shared" si="13"/>
        <v>85</v>
      </c>
      <c r="B87" s="1">
        <v>39566546</v>
      </c>
      <c r="C87" s="1" t="s">
        <v>97</v>
      </c>
      <c r="D87" s="1" t="s">
        <v>85</v>
      </c>
      <c r="E87" s="1">
        <v>1</v>
      </c>
      <c r="F87" s="24">
        <v>2695</v>
      </c>
      <c r="G87" s="37">
        <v>40920</v>
      </c>
      <c r="H87" s="37">
        <v>40924</v>
      </c>
      <c r="I87" s="12">
        <v>610</v>
      </c>
      <c r="J87" s="1">
        <v>88</v>
      </c>
      <c r="K87" s="1">
        <v>20</v>
      </c>
      <c r="L87" s="13">
        <f t="shared" si="9"/>
        <v>15250</v>
      </c>
      <c r="M87" s="1">
        <f t="shared" si="10"/>
        <v>1760</v>
      </c>
      <c r="N87" s="1">
        <v>944.18604651162798</v>
      </c>
      <c r="O87" s="1">
        <v>300</v>
      </c>
      <c r="P87" s="1">
        <v>4</v>
      </c>
      <c r="Q87" s="1">
        <f t="shared" si="11"/>
        <v>7040</v>
      </c>
      <c r="R87" s="1">
        <v>2</v>
      </c>
      <c r="S87" s="1">
        <f t="shared" si="12"/>
        <v>3520</v>
      </c>
    </row>
    <row r="88" spans="1:19">
      <c r="A88" s="1">
        <f t="shared" si="13"/>
        <v>86</v>
      </c>
      <c r="B88" s="1">
        <v>39556026</v>
      </c>
      <c r="C88" s="1" t="s">
        <v>98</v>
      </c>
      <c r="D88" s="1" t="s">
        <v>86</v>
      </c>
      <c r="E88" s="1">
        <v>4</v>
      </c>
      <c r="F88" s="24">
        <v>20553</v>
      </c>
      <c r="G88" s="37">
        <v>40917</v>
      </c>
      <c r="H88" s="37">
        <v>40927</v>
      </c>
      <c r="I88" s="12">
        <v>360</v>
      </c>
      <c r="J88" s="1">
        <v>40</v>
      </c>
      <c r="K88" s="1">
        <v>10</v>
      </c>
      <c r="L88" s="13">
        <f t="shared" si="9"/>
        <v>2250</v>
      </c>
      <c r="M88" s="1">
        <f t="shared" si="10"/>
        <v>400</v>
      </c>
      <c r="N88" s="1">
        <v>190.12345679012344</v>
      </c>
      <c r="O88" s="1">
        <v>54.999999999999993</v>
      </c>
      <c r="P88" s="1">
        <v>2</v>
      </c>
      <c r="Q88" s="1">
        <f t="shared" si="11"/>
        <v>800</v>
      </c>
      <c r="R88" s="1">
        <v>2</v>
      </c>
      <c r="S88" s="1">
        <f t="shared" si="12"/>
        <v>800</v>
      </c>
    </row>
    <row r="89" spans="1:19">
      <c r="A89" s="1">
        <f t="shared" si="13"/>
        <v>87</v>
      </c>
      <c r="B89" s="1">
        <v>39556812</v>
      </c>
      <c r="C89" s="1" t="s">
        <v>99</v>
      </c>
      <c r="D89" s="1" t="s">
        <v>74</v>
      </c>
      <c r="E89" s="1">
        <v>2</v>
      </c>
      <c r="F89" s="24">
        <v>17121</v>
      </c>
      <c r="G89" s="37">
        <v>40920</v>
      </c>
      <c r="H89" s="37">
        <v>40927</v>
      </c>
      <c r="I89" s="12">
        <v>270</v>
      </c>
      <c r="J89" s="1">
        <v>40</v>
      </c>
      <c r="K89" s="1">
        <v>20</v>
      </c>
      <c r="L89" s="13">
        <f t="shared" si="9"/>
        <v>3375</v>
      </c>
      <c r="M89" s="1">
        <f t="shared" si="10"/>
        <v>800</v>
      </c>
      <c r="N89" s="1">
        <v>682.0512820512821</v>
      </c>
      <c r="O89" s="1">
        <v>75</v>
      </c>
      <c r="P89" s="1">
        <v>4</v>
      </c>
      <c r="Q89" s="1">
        <f t="shared" si="11"/>
        <v>3200</v>
      </c>
      <c r="R89" s="1">
        <v>2</v>
      </c>
      <c r="S89" s="1">
        <f t="shared" si="12"/>
        <v>1600</v>
      </c>
    </row>
    <row r="90" spans="1:19">
      <c r="A90" s="1">
        <f t="shared" si="13"/>
        <v>88</v>
      </c>
      <c r="B90" s="1">
        <v>39762318</v>
      </c>
      <c r="C90" s="1" t="s">
        <v>41</v>
      </c>
      <c r="D90" s="1" t="s">
        <v>12</v>
      </c>
      <c r="E90" s="1">
        <v>2</v>
      </c>
      <c r="F90" s="24">
        <v>110110</v>
      </c>
      <c r="G90" s="37">
        <v>40919</v>
      </c>
      <c r="H90" s="37">
        <v>40924</v>
      </c>
      <c r="I90" s="12">
        <v>600</v>
      </c>
      <c r="J90" s="1">
        <v>80</v>
      </c>
      <c r="K90" s="1">
        <v>20</v>
      </c>
      <c r="L90" s="13">
        <f t="shared" si="9"/>
        <v>7500</v>
      </c>
      <c r="M90" s="1">
        <f t="shared" si="10"/>
        <v>1600</v>
      </c>
      <c r="N90" s="1">
        <v>657.41444866920165</v>
      </c>
      <c r="O90" s="1">
        <v>150</v>
      </c>
      <c r="P90" s="1">
        <v>4</v>
      </c>
      <c r="Q90" s="1">
        <f t="shared" si="11"/>
        <v>6400</v>
      </c>
      <c r="R90" s="1">
        <v>2</v>
      </c>
      <c r="S90" s="1">
        <f t="shared" si="12"/>
        <v>3200</v>
      </c>
    </row>
    <row r="91" spans="1:19">
      <c r="A91" s="1">
        <f t="shared" si="13"/>
        <v>89</v>
      </c>
      <c r="B91" s="1">
        <v>39595266</v>
      </c>
      <c r="C91" s="1" t="s">
        <v>41</v>
      </c>
      <c r="D91" s="1" t="s">
        <v>12</v>
      </c>
      <c r="E91" s="1">
        <v>2</v>
      </c>
      <c r="F91" s="24">
        <v>30030</v>
      </c>
      <c r="G91" s="37">
        <v>40920</v>
      </c>
      <c r="H91" s="37">
        <v>40925</v>
      </c>
      <c r="I91" s="12">
        <v>600</v>
      </c>
      <c r="J91" s="1">
        <v>80</v>
      </c>
      <c r="K91" s="1">
        <v>20</v>
      </c>
      <c r="L91" s="13">
        <f t="shared" si="9"/>
        <v>7500</v>
      </c>
      <c r="M91" s="1">
        <f t="shared" si="10"/>
        <v>1600</v>
      </c>
      <c r="N91" s="1">
        <v>657.41444866920165</v>
      </c>
      <c r="O91" s="1">
        <v>150</v>
      </c>
      <c r="P91" s="1">
        <v>4</v>
      </c>
      <c r="Q91" s="1">
        <f t="shared" si="11"/>
        <v>6400</v>
      </c>
      <c r="R91" s="1">
        <v>2</v>
      </c>
      <c r="S91" s="1">
        <f t="shared" si="12"/>
        <v>3200</v>
      </c>
    </row>
    <row r="92" spans="1:19">
      <c r="A92" s="1">
        <f t="shared" si="13"/>
        <v>90</v>
      </c>
      <c r="B92" s="1">
        <v>39565560</v>
      </c>
      <c r="C92" s="1" t="s">
        <v>45</v>
      </c>
      <c r="D92" s="1" t="s">
        <v>17</v>
      </c>
      <c r="E92" s="1">
        <v>2</v>
      </c>
      <c r="F92" s="24">
        <v>60519</v>
      </c>
      <c r="G92" s="37">
        <v>40922</v>
      </c>
      <c r="H92" s="37">
        <v>40927</v>
      </c>
      <c r="I92" s="12">
        <v>360</v>
      </c>
      <c r="J92" s="1">
        <v>48</v>
      </c>
      <c r="K92" s="1">
        <v>20</v>
      </c>
      <c r="L92" s="13">
        <f t="shared" si="9"/>
        <v>4500</v>
      </c>
      <c r="M92" s="1">
        <f t="shared" si="10"/>
        <v>960</v>
      </c>
      <c r="N92" s="1">
        <v>646.15384615384608</v>
      </c>
      <c r="O92" s="1">
        <v>160</v>
      </c>
      <c r="P92" s="1">
        <v>4</v>
      </c>
      <c r="Q92" s="1">
        <f t="shared" si="11"/>
        <v>3840</v>
      </c>
      <c r="R92" s="1">
        <v>2</v>
      </c>
      <c r="S92" s="1">
        <f t="shared" si="12"/>
        <v>1920</v>
      </c>
    </row>
    <row r="93" spans="1:19">
      <c r="A93" s="1">
        <f t="shared" si="13"/>
        <v>91</v>
      </c>
      <c r="B93" s="1">
        <v>39560050</v>
      </c>
      <c r="C93" s="1" t="s">
        <v>45</v>
      </c>
      <c r="D93" s="1" t="s">
        <v>17</v>
      </c>
      <c r="E93" s="1">
        <v>2</v>
      </c>
      <c r="F93" s="24">
        <v>10232</v>
      </c>
      <c r="G93" s="37">
        <v>40918</v>
      </c>
      <c r="H93" s="37">
        <v>40923</v>
      </c>
      <c r="I93" s="12">
        <v>360</v>
      </c>
      <c r="J93" s="1">
        <v>48</v>
      </c>
      <c r="K93" s="1">
        <v>20</v>
      </c>
      <c r="L93" s="13">
        <f t="shared" si="9"/>
        <v>4500</v>
      </c>
      <c r="M93" s="1">
        <f t="shared" si="10"/>
        <v>960</v>
      </c>
      <c r="N93" s="1">
        <v>646.15384615384608</v>
      </c>
      <c r="O93" s="1">
        <v>160</v>
      </c>
      <c r="P93" s="1">
        <v>4</v>
      </c>
      <c r="Q93" s="1">
        <f t="shared" si="11"/>
        <v>3840</v>
      </c>
      <c r="R93" s="1">
        <v>2</v>
      </c>
      <c r="S93" s="1">
        <f t="shared" si="12"/>
        <v>1920</v>
      </c>
    </row>
    <row r="94" spans="1:19">
      <c r="A94" s="1">
        <f t="shared" si="13"/>
        <v>92</v>
      </c>
      <c r="B94" s="1">
        <v>39560930</v>
      </c>
      <c r="C94" s="1" t="s">
        <v>45</v>
      </c>
      <c r="D94" s="1" t="s">
        <v>17</v>
      </c>
      <c r="E94" s="1">
        <v>2</v>
      </c>
      <c r="F94" s="24">
        <v>40821</v>
      </c>
      <c r="G94" s="37">
        <v>40923</v>
      </c>
      <c r="H94" s="37">
        <v>40928</v>
      </c>
      <c r="I94" s="12">
        <v>360</v>
      </c>
      <c r="J94" s="1">
        <v>48</v>
      </c>
      <c r="K94" s="1">
        <v>20</v>
      </c>
      <c r="L94" s="13">
        <f t="shared" si="9"/>
        <v>4500</v>
      </c>
      <c r="M94" s="1">
        <f t="shared" si="10"/>
        <v>960</v>
      </c>
      <c r="N94" s="1">
        <v>646.15384615384608</v>
      </c>
      <c r="O94" s="1">
        <v>160</v>
      </c>
      <c r="P94" s="1">
        <v>4</v>
      </c>
      <c r="Q94" s="1">
        <f t="shared" si="11"/>
        <v>3840</v>
      </c>
      <c r="R94" s="1">
        <v>2</v>
      </c>
      <c r="S94" s="1">
        <f t="shared" si="12"/>
        <v>1920</v>
      </c>
    </row>
    <row r="95" spans="1:19">
      <c r="A95" s="1">
        <f t="shared" si="13"/>
        <v>93</v>
      </c>
      <c r="B95" s="1">
        <v>39761062</v>
      </c>
      <c r="C95" s="1" t="s">
        <v>45</v>
      </c>
      <c r="D95" s="1" t="s">
        <v>17</v>
      </c>
      <c r="E95" s="1">
        <v>2</v>
      </c>
      <c r="F95" s="24">
        <v>7761</v>
      </c>
      <c r="G95" s="37">
        <v>40917</v>
      </c>
      <c r="H95" s="37">
        <v>40922</v>
      </c>
      <c r="I95" s="12">
        <v>360</v>
      </c>
      <c r="J95" s="1">
        <v>48</v>
      </c>
      <c r="K95" s="1">
        <v>20</v>
      </c>
      <c r="L95" s="13">
        <f t="shared" si="9"/>
        <v>4500</v>
      </c>
      <c r="M95" s="1">
        <f t="shared" si="10"/>
        <v>960</v>
      </c>
      <c r="N95" s="1">
        <v>646.15384615384608</v>
      </c>
      <c r="O95" s="1">
        <v>160</v>
      </c>
      <c r="P95" s="1">
        <v>4</v>
      </c>
      <c r="Q95" s="1">
        <f t="shared" si="11"/>
        <v>3840</v>
      </c>
      <c r="R95" s="1">
        <v>2</v>
      </c>
      <c r="S95" s="1">
        <f t="shared" si="12"/>
        <v>1920</v>
      </c>
    </row>
    <row r="96" spans="1:19">
      <c r="A96" s="1">
        <f t="shared" si="13"/>
        <v>94</v>
      </c>
      <c r="B96" s="1">
        <v>39551295</v>
      </c>
      <c r="C96" s="1" t="s">
        <v>45</v>
      </c>
      <c r="D96" s="1" t="s">
        <v>17</v>
      </c>
      <c r="E96" s="1">
        <v>2</v>
      </c>
      <c r="F96" s="24">
        <v>29092</v>
      </c>
      <c r="G96" s="37">
        <v>40917</v>
      </c>
      <c r="H96" s="37">
        <v>40922</v>
      </c>
      <c r="I96" s="12">
        <v>360</v>
      </c>
      <c r="J96" s="1">
        <v>48</v>
      </c>
      <c r="K96" s="1">
        <v>20</v>
      </c>
      <c r="L96" s="13">
        <f t="shared" si="9"/>
        <v>4500</v>
      </c>
      <c r="M96" s="1">
        <f t="shared" si="10"/>
        <v>960</v>
      </c>
      <c r="N96" s="1">
        <v>646.15384615384608</v>
      </c>
      <c r="O96" s="1">
        <v>160</v>
      </c>
      <c r="P96" s="1">
        <v>4</v>
      </c>
      <c r="Q96" s="1">
        <f t="shared" si="11"/>
        <v>3840</v>
      </c>
      <c r="R96" s="1">
        <v>2</v>
      </c>
      <c r="S96" s="1">
        <f t="shared" si="12"/>
        <v>1920</v>
      </c>
    </row>
    <row r="97" spans="1:19">
      <c r="A97" s="1">
        <f t="shared" si="13"/>
        <v>95</v>
      </c>
      <c r="B97" s="1">
        <v>39567604</v>
      </c>
      <c r="C97" s="1" t="s">
        <v>40</v>
      </c>
      <c r="D97" s="1" t="s">
        <v>85</v>
      </c>
      <c r="E97" s="1">
        <v>1</v>
      </c>
      <c r="F97" s="24">
        <v>309997</v>
      </c>
      <c r="G97" s="37">
        <v>40920</v>
      </c>
      <c r="H97" s="37">
        <v>40925</v>
      </c>
      <c r="I97" s="12">
        <v>860</v>
      </c>
      <c r="J97" s="1">
        <v>88</v>
      </c>
      <c r="K97" s="1">
        <v>20</v>
      </c>
      <c r="L97" s="13">
        <f t="shared" si="9"/>
        <v>21500</v>
      </c>
      <c r="M97" s="1">
        <f t="shared" si="10"/>
        <v>1760</v>
      </c>
      <c r="N97" s="1">
        <v>563.88888888888891</v>
      </c>
      <c r="O97" s="1">
        <v>320</v>
      </c>
      <c r="P97" s="1">
        <v>4</v>
      </c>
      <c r="Q97" s="1">
        <f t="shared" si="11"/>
        <v>7040</v>
      </c>
      <c r="R97" s="1">
        <v>2</v>
      </c>
      <c r="S97" s="1">
        <f t="shared" si="12"/>
        <v>3520</v>
      </c>
    </row>
    <row r="98" spans="1:19">
      <c r="A98" s="1">
        <f t="shared" si="13"/>
        <v>96</v>
      </c>
      <c r="B98" s="1">
        <v>39567605</v>
      </c>
      <c r="C98" s="1" t="s">
        <v>40</v>
      </c>
      <c r="D98" s="1" t="s">
        <v>85</v>
      </c>
      <c r="E98" s="1">
        <v>1</v>
      </c>
      <c r="F98" s="24">
        <v>245002</v>
      </c>
      <c r="G98" s="37">
        <v>40923</v>
      </c>
      <c r="H98" s="37">
        <v>40928</v>
      </c>
      <c r="I98" s="12">
        <v>860</v>
      </c>
      <c r="J98" s="1">
        <v>88</v>
      </c>
      <c r="K98" s="1">
        <v>20</v>
      </c>
      <c r="L98" s="13">
        <f t="shared" si="9"/>
        <v>21500</v>
      </c>
      <c r="M98" s="1">
        <f t="shared" si="10"/>
        <v>1760</v>
      </c>
      <c r="N98" s="1">
        <v>563.88888888888891</v>
      </c>
      <c r="O98" s="1">
        <v>320</v>
      </c>
      <c r="P98" s="1">
        <v>4</v>
      </c>
      <c r="Q98" s="1">
        <f t="shared" si="11"/>
        <v>7040</v>
      </c>
      <c r="R98" s="1">
        <v>2</v>
      </c>
      <c r="S98" s="1">
        <f t="shared" si="12"/>
        <v>3520</v>
      </c>
    </row>
    <row r="99" spans="1:19">
      <c r="A99" s="1">
        <f t="shared" si="13"/>
        <v>97</v>
      </c>
      <c r="B99" s="1">
        <v>39561229</v>
      </c>
      <c r="C99" s="1" t="s">
        <v>40</v>
      </c>
      <c r="D99" s="1" t="s">
        <v>85</v>
      </c>
      <c r="E99" s="1">
        <v>1</v>
      </c>
      <c r="F99" s="24">
        <v>245001</v>
      </c>
      <c r="G99" s="37">
        <v>40922</v>
      </c>
      <c r="H99" s="37">
        <v>40927</v>
      </c>
      <c r="I99" s="12">
        <v>860</v>
      </c>
      <c r="J99" s="1">
        <v>88</v>
      </c>
      <c r="K99" s="1">
        <v>20</v>
      </c>
      <c r="L99" s="13">
        <f t="shared" ref="L99:L130" si="14">I99*25/E99</f>
        <v>21500</v>
      </c>
      <c r="M99" s="1">
        <f t="shared" ref="M99:M130" si="15">K99*J99</f>
        <v>1760</v>
      </c>
      <c r="N99" s="1">
        <v>563.88888888888891</v>
      </c>
      <c r="O99" s="1">
        <v>320</v>
      </c>
      <c r="P99" s="1">
        <v>4</v>
      </c>
      <c r="Q99" s="1">
        <f t="shared" ref="Q99:Q130" si="16">P99*M99</f>
        <v>7040</v>
      </c>
      <c r="R99" s="1">
        <v>2</v>
      </c>
      <c r="S99" s="1">
        <f t="shared" ref="S99:S130" si="17">M99*R99</f>
        <v>3520</v>
      </c>
    </row>
    <row r="100" spans="1:19">
      <c r="A100" s="1">
        <f t="shared" si="13"/>
        <v>98</v>
      </c>
      <c r="B100" s="1">
        <v>39569929</v>
      </c>
      <c r="C100" s="1" t="s">
        <v>100</v>
      </c>
      <c r="D100" s="1" t="s">
        <v>85</v>
      </c>
      <c r="E100" s="1">
        <v>1</v>
      </c>
      <c r="F100" s="24">
        <v>79163</v>
      </c>
      <c r="G100" s="37">
        <v>40920</v>
      </c>
      <c r="H100" s="37">
        <v>40925</v>
      </c>
      <c r="I100" s="12">
        <v>480</v>
      </c>
      <c r="J100" s="1">
        <v>88</v>
      </c>
      <c r="K100" s="1">
        <v>20</v>
      </c>
      <c r="L100" s="13">
        <f t="shared" si="14"/>
        <v>12000</v>
      </c>
      <c r="M100" s="1">
        <f t="shared" si="15"/>
        <v>1760</v>
      </c>
      <c r="N100" s="1">
        <v>563.88888888888891</v>
      </c>
      <c r="O100" s="1">
        <v>300</v>
      </c>
      <c r="P100" s="1">
        <v>4</v>
      </c>
      <c r="Q100" s="1">
        <f t="shared" si="16"/>
        <v>7040</v>
      </c>
      <c r="R100" s="1">
        <v>2</v>
      </c>
      <c r="S100" s="1">
        <f t="shared" si="17"/>
        <v>3520</v>
      </c>
    </row>
    <row r="101" spans="1:19">
      <c r="A101" s="1">
        <f t="shared" si="13"/>
        <v>99</v>
      </c>
      <c r="B101" s="1">
        <v>39560826</v>
      </c>
      <c r="C101" s="1" t="s">
        <v>101</v>
      </c>
      <c r="D101" s="1" t="s">
        <v>19</v>
      </c>
      <c r="E101" s="1">
        <v>1</v>
      </c>
      <c r="F101" s="24">
        <v>1231</v>
      </c>
      <c r="G101" s="37">
        <v>40920</v>
      </c>
      <c r="H101" s="37">
        <v>40926</v>
      </c>
      <c r="I101" s="12">
        <v>1040</v>
      </c>
      <c r="J101" s="1">
        <v>66</v>
      </c>
      <c r="K101" s="1">
        <v>20</v>
      </c>
      <c r="L101" s="13">
        <f t="shared" si="14"/>
        <v>26000</v>
      </c>
      <c r="M101" s="1">
        <f t="shared" si="15"/>
        <v>1320</v>
      </c>
      <c r="N101" s="1">
        <v>884.21052631578948</v>
      </c>
      <c r="O101" s="1">
        <v>300</v>
      </c>
      <c r="P101" s="1">
        <v>4</v>
      </c>
      <c r="Q101" s="1">
        <f t="shared" si="16"/>
        <v>5280</v>
      </c>
      <c r="R101" s="1">
        <v>2</v>
      </c>
      <c r="S101" s="1">
        <f t="shared" si="17"/>
        <v>2640</v>
      </c>
    </row>
    <row r="102" spans="1:19">
      <c r="A102" s="1">
        <f t="shared" si="13"/>
        <v>100</v>
      </c>
      <c r="B102" s="1">
        <v>39554132</v>
      </c>
      <c r="C102" s="1" t="s">
        <v>101</v>
      </c>
      <c r="D102" s="1" t="s">
        <v>19</v>
      </c>
      <c r="E102" s="1">
        <v>1</v>
      </c>
      <c r="F102" s="24">
        <v>3883</v>
      </c>
      <c r="G102" s="37">
        <v>40917</v>
      </c>
      <c r="H102" s="37">
        <v>40923</v>
      </c>
      <c r="I102" s="12">
        <v>1040</v>
      </c>
      <c r="J102" s="1">
        <v>66</v>
      </c>
      <c r="K102" s="1">
        <v>20</v>
      </c>
      <c r="L102" s="13">
        <f t="shared" si="14"/>
        <v>26000</v>
      </c>
      <c r="M102" s="1">
        <f t="shared" si="15"/>
        <v>1320</v>
      </c>
      <c r="N102" s="1">
        <v>884.21052631578948</v>
      </c>
      <c r="O102" s="1">
        <v>300</v>
      </c>
      <c r="P102" s="1">
        <v>4</v>
      </c>
      <c r="Q102" s="1">
        <f t="shared" si="16"/>
        <v>5280</v>
      </c>
      <c r="R102" s="1">
        <v>2</v>
      </c>
      <c r="S102" s="1">
        <f t="shared" si="17"/>
        <v>2640</v>
      </c>
    </row>
    <row r="103" spans="1:19">
      <c r="A103" s="1">
        <f t="shared" si="13"/>
        <v>101</v>
      </c>
      <c r="B103" s="1">
        <v>39557489</v>
      </c>
      <c r="C103" s="1" t="s">
        <v>101</v>
      </c>
      <c r="D103" s="1" t="s">
        <v>19</v>
      </c>
      <c r="E103" s="1">
        <v>1</v>
      </c>
      <c r="F103" s="24">
        <v>9628</v>
      </c>
      <c r="G103" s="37">
        <v>40917</v>
      </c>
      <c r="H103" s="37">
        <v>40923</v>
      </c>
      <c r="I103" s="12">
        <v>1040</v>
      </c>
      <c r="J103" s="1">
        <v>66</v>
      </c>
      <c r="K103" s="1">
        <v>20</v>
      </c>
      <c r="L103" s="13">
        <f t="shared" si="14"/>
        <v>26000</v>
      </c>
      <c r="M103" s="1">
        <f t="shared" si="15"/>
        <v>1320</v>
      </c>
      <c r="N103" s="1">
        <v>884.21052631578948</v>
      </c>
      <c r="O103" s="1">
        <v>300</v>
      </c>
      <c r="P103" s="1">
        <v>4</v>
      </c>
      <c r="Q103" s="1">
        <f t="shared" si="16"/>
        <v>5280</v>
      </c>
      <c r="R103" s="1">
        <v>2</v>
      </c>
      <c r="S103" s="1">
        <f t="shared" si="17"/>
        <v>2640</v>
      </c>
    </row>
    <row r="104" spans="1:19">
      <c r="A104" s="1">
        <f t="shared" si="13"/>
        <v>102</v>
      </c>
      <c r="B104" s="1">
        <v>39557829</v>
      </c>
      <c r="C104" s="1" t="s">
        <v>44</v>
      </c>
      <c r="D104" s="1" t="s">
        <v>19</v>
      </c>
      <c r="E104" s="1">
        <v>1</v>
      </c>
      <c r="F104" s="24">
        <v>118</v>
      </c>
      <c r="G104" s="37">
        <v>40917</v>
      </c>
      <c r="H104" s="37">
        <v>40917</v>
      </c>
      <c r="I104" s="12">
        <v>700</v>
      </c>
      <c r="J104" s="1">
        <v>66</v>
      </c>
      <c r="K104" s="1">
        <v>20</v>
      </c>
      <c r="L104" s="13">
        <f t="shared" si="14"/>
        <v>17500</v>
      </c>
      <c r="M104" s="1">
        <f t="shared" si="15"/>
        <v>1320</v>
      </c>
      <c r="N104" s="1">
        <v>884.21052631578948</v>
      </c>
      <c r="O104" s="1">
        <v>330</v>
      </c>
      <c r="P104" s="1">
        <v>4</v>
      </c>
      <c r="Q104" s="1">
        <f t="shared" si="16"/>
        <v>5280</v>
      </c>
      <c r="R104" s="1">
        <v>2</v>
      </c>
      <c r="S104" s="1">
        <f t="shared" si="17"/>
        <v>2640</v>
      </c>
    </row>
    <row r="105" spans="1:19">
      <c r="A105" s="1">
        <f t="shared" si="13"/>
        <v>103</v>
      </c>
      <c r="B105" s="1">
        <v>39556108</v>
      </c>
      <c r="C105" s="1" t="s">
        <v>44</v>
      </c>
      <c r="D105" s="1" t="s">
        <v>19</v>
      </c>
      <c r="E105" s="1">
        <v>1</v>
      </c>
      <c r="F105" s="24">
        <v>24321</v>
      </c>
      <c r="G105" s="37">
        <v>40917</v>
      </c>
      <c r="H105" s="37">
        <v>40917</v>
      </c>
      <c r="I105" s="12">
        <v>700</v>
      </c>
      <c r="J105" s="1">
        <v>66</v>
      </c>
      <c r="K105" s="1">
        <v>20</v>
      </c>
      <c r="L105" s="13">
        <f t="shared" si="14"/>
        <v>17500</v>
      </c>
      <c r="M105" s="1">
        <f t="shared" si="15"/>
        <v>1320</v>
      </c>
      <c r="N105" s="1">
        <v>884.21052631578948</v>
      </c>
      <c r="O105" s="1">
        <v>330</v>
      </c>
      <c r="P105" s="1">
        <v>4</v>
      </c>
      <c r="Q105" s="1">
        <f t="shared" si="16"/>
        <v>5280</v>
      </c>
      <c r="R105" s="1">
        <v>2</v>
      </c>
      <c r="S105" s="1">
        <f t="shared" si="17"/>
        <v>2640</v>
      </c>
    </row>
    <row r="106" spans="1:19">
      <c r="A106" s="1">
        <f t="shared" si="13"/>
        <v>104</v>
      </c>
      <c r="B106" s="1">
        <v>39557307</v>
      </c>
      <c r="C106" s="1" t="s">
        <v>44</v>
      </c>
      <c r="D106" s="1" t="s">
        <v>19</v>
      </c>
      <c r="E106" s="1">
        <v>1</v>
      </c>
      <c r="F106" s="24">
        <v>45315</v>
      </c>
      <c r="G106" s="37">
        <v>40917</v>
      </c>
      <c r="H106" s="37">
        <v>40917</v>
      </c>
      <c r="I106" s="12">
        <v>700</v>
      </c>
      <c r="J106" s="1">
        <v>66</v>
      </c>
      <c r="K106" s="1">
        <v>20</v>
      </c>
      <c r="L106" s="13">
        <f t="shared" si="14"/>
        <v>17500</v>
      </c>
      <c r="M106" s="1">
        <f t="shared" si="15"/>
        <v>1320</v>
      </c>
      <c r="N106" s="1">
        <v>884.21052631578948</v>
      </c>
      <c r="O106" s="1">
        <v>330</v>
      </c>
      <c r="P106" s="1">
        <v>4</v>
      </c>
      <c r="Q106" s="1">
        <f t="shared" si="16"/>
        <v>5280</v>
      </c>
      <c r="R106" s="1">
        <v>2</v>
      </c>
      <c r="S106" s="1">
        <f t="shared" si="17"/>
        <v>2640</v>
      </c>
    </row>
    <row r="107" spans="1:19">
      <c r="A107" s="1">
        <f t="shared" si="13"/>
        <v>105</v>
      </c>
      <c r="B107" s="1">
        <v>39761063</v>
      </c>
      <c r="C107" s="1" t="s">
        <v>102</v>
      </c>
      <c r="D107" s="1" t="s">
        <v>16</v>
      </c>
      <c r="E107" s="1">
        <v>2</v>
      </c>
      <c r="F107" s="24">
        <v>84652</v>
      </c>
      <c r="G107" s="37">
        <v>40917</v>
      </c>
      <c r="H107" s="37">
        <v>40917</v>
      </c>
      <c r="I107" s="12">
        <v>700</v>
      </c>
      <c r="J107" s="1">
        <v>66</v>
      </c>
      <c r="K107" s="1">
        <v>20</v>
      </c>
      <c r="L107" s="13">
        <f t="shared" si="14"/>
        <v>8750</v>
      </c>
      <c r="M107" s="1">
        <f t="shared" si="15"/>
        <v>1320</v>
      </c>
      <c r="N107" s="1">
        <v>646.15384615384608</v>
      </c>
      <c r="O107" s="1">
        <v>150</v>
      </c>
      <c r="P107" s="1">
        <v>4</v>
      </c>
      <c r="Q107" s="1">
        <f t="shared" si="16"/>
        <v>5280</v>
      </c>
      <c r="R107" s="1">
        <v>2</v>
      </c>
      <c r="S107" s="1">
        <f t="shared" si="17"/>
        <v>2640</v>
      </c>
    </row>
    <row r="108" spans="1:19">
      <c r="A108" s="1">
        <f t="shared" si="13"/>
        <v>106</v>
      </c>
      <c r="B108" s="1">
        <v>39557286</v>
      </c>
      <c r="C108" s="1" t="s">
        <v>102</v>
      </c>
      <c r="D108" s="1" t="s">
        <v>16</v>
      </c>
      <c r="E108" s="1">
        <v>2</v>
      </c>
      <c r="F108" s="24">
        <v>163776</v>
      </c>
      <c r="G108" s="37">
        <v>40917</v>
      </c>
      <c r="H108" s="37">
        <v>40917</v>
      </c>
      <c r="I108" s="12">
        <v>700</v>
      </c>
      <c r="J108" s="1">
        <v>66</v>
      </c>
      <c r="K108" s="1">
        <v>20</v>
      </c>
      <c r="L108" s="13">
        <f t="shared" si="14"/>
        <v>8750</v>
      </c>
      <c r="M108" s="1">
        <f t="shared" si="15"/>
        <v>1320</v>
      </c>
      <c r="N108" s="1">
        <v>646.15384615384608</v>
      </c>
      <c r="O108" s="1">
        <v>150</v>
      </c>
      <c r="P108" s="1">
        <v>4</v>
      </c>
      <c r="Q108" s="1">
        <f t="shared" si="16"/>
        <v>5280</v>
      </c>
      <c r="R108" s="1">
        <v>2</v>
      </c>
      <c r="S108" s="1">
        <f t="shared" si="17"/>
        <v>2640</v>
      </c>
    </row>
    <row r="109" spans="1:19">
      <c r="A109" s="1">
        <f t="shared" si="13"/>
        <v>107</v>
      </c>
      <c r="B109" s="1">
        <v>39552131</v>
      </c>
      <c r="C109" s="1" t="s">
        <v>102</v>
      </c>
      <c r="D109" s="1" t="s">
        <v>16</v>
      </c>
      <c r="E109" s="1">
        <v>2</v>
      </c>
      <c r="F109" s="24">
        <v>2517</v>
      </c>
      <c r="G109" s="37">
        <v>40917</v>
      </c>
      <c r="H109" s="37">
        <v>40917</v>
      </c>
      <c r="I109" s="12">
        <v>700</v>
      </c>
      <c r="J109" s="1">
        <v>66</v>
      </c>
      <c r="K109" s="1">
        <v>20</v>
      </c>
      <c r="L109" s="13">
        <f t="shared" si="14"/>
        <v>8750</v>
      </c>
      <c r="M109" s="1">
        <f t="shared" si="15"/>
        <v>1320</v>
      </c>
      <c r="N109" s="1">
        <v>646.15384615384608</v>
      </c>
      <c r="O109" s="1">
        <v>150</v>
      </c>
      <c r="P109" s="1">
        <v>4</v>
      </c>
      <c r="Q109" s="1">
        <f t="shared" si="16"/>
        <v>5280</v>
      </c>
      <c r="R109" s="1">
        <v>2</v>
      </c>
      <c r="S109" s="1">
        <f t="shared" si="17"/>
        <v>2640</v>
      </c>
    </row>
    <row r="110" spans="1:19">
      <c r="A110" s="1">
        <f t="shared" si="13"/>
        <v>108</v>
      </c>
      <c r="B110" s="1">
        <v>39565287</v>
      </c>
      <c r="C110" s="1" t="s">
        <v>103</v>
      </c>
      <c r="D110" s="1" t="s">
        <v>87</v>
      </c>
      <c r="E110" s="1">
        <v>1</v>
      </c>
      <c r="F110" s="24">
        <v>6766</v>
      </c>
      <c r="G110" s="37">
        <v>40919</v>
      </c>
      <c r="H110" s="37">
        <v>40924</v>
      </c>
      <c r="I110" s="12">
        <v>360</v>
      </c>
      <c r="J110" s="1">
        <v>48</v>
      </c>
      <c r="K110" s="1">
        <v>20</v>
      </c>
      <c r="L110" s="13">
        <f t="shared" si="14"/>
        <v>9000</v>
      </c>
      <c r="M110" s="1">
        <f t="shared" si="15"/>
        <v>960</v>
      </c>
      <c r="N110" s="1">
        <v>944.18604651162798</v>
      </c>
      <c r="O110" s="1">
        <v>330</v>
      </c>
      <c r="P110" s="1">
        <v>4</v>
      </c>
      <c r="Q110" s="1">
        <f t="shared" si="16"/>
        <v>3840</v>
      </c>
      <c r="R110" s="1">
        <v>2</v>
      </c>
      <c r="S110" s="1">
        <f t="shared" si="17"/>
        <v>1920</v>
      </c>
    </row>
    <row r="111" spans="1:19">
      <c r="A111" s="1">
        <f t="shared" si="13"/>
        <v>109</v>
      </c>
      <c r="B111" s="1">
        <v>39565288</v>
      </c>
      <c r="C111" s="1" t="s">
        <v>103</v>
      </c>
      <c r="D111" s="1" t="s">
        <v>87</v>
      </c>
      <c r="E111" s="1">
        <v>1</v>
      </c>
      <c r="F111" s="24">
        <v>19582</v>
      </c>
      <c r="G111" s="37">
        <v>40922</v>
      </c>
      <c r="H111" s="37">
        <v>40927</v>
      </c>
      <c r="I111" s="12">
        <v>360</v>
      </c>
      <c r="J111" s="1">
        <v>48</v>
      </c>
      <c r="K111" s="1">
        <v>20</v>
      </c>
      <c r="L111" s="13">
        <f t="shared" si="14"/>
        <v>9000</v>
      </c>
      <c r="M111" s="1">
        <f t="shared" si="15"/>
        <v>960</v>
      </c>
      <c r="N111" s="1">
        <v>944.18604651162798</v>
      </c>
      <c r="O111" s="1">
        <v>330</v>
      </c>
      <c r="P111" s="1">
        <v>4</v>
      </c>
      <c r="Q111" s="1">
        <f t="shared" si="16"/>
        <v>3840</v>
      </c>
      <c r="R111" s="1">
        <v>2</v>
      </c>
      <c r="S111" s="1">
        <f t="shared" si="17"/>
        <v>1920</v>
      </c>
    </row>
    <row r="112" spans="1:19">
      <c r="A112" s="1">
        <f t="shared" si="13"/>
        <v>110</v>
      </c>
      <c r="B112" s="1">
        <v>39568617</v>
      </c>
      <c r="C112" s="1" t="s">
        <v>128</v>
      </c>
      <c r="D112" s="1" t="s">
        <v>89</v>
      </c>
      <c r="E112" s="1">
        <v>2</v>
      </c>
      <c r="F112" s="24">
        <v>5643</v>
      </c>
      <c r="G112" s="37">
        <v>40921</v>
      </c>
      <c r="H112" s="37">
        <v>40927</v>
      </c>
      <c r="I112" s="12">
        <v>360</v>
      </c>
      <c r="J112" s="1">
        <v>48</v>
      </c>
      <c r="K112" s="1">
        <v>20</v>
      </c>
      <c r="L112" s="13">
        <f t="shared" si="14"/>
        <v>4500</v>
      </c>
      <c r="M112" s="1">
        <f t="shared" si="15"/>
        <v>960</v>
      </c>
      <c r="N112" s="1">
        <v>682.0512820512821</v>
      </c>
      <c r="O112" s="1">
        <v>160</v>
      </c>
      <c r="P112" s="1">
        <v>4</v>
      </c>
      <c r="Q112" s="1">
        <f t="shared" si="16"/>
        <v>3840</v>
      </c>
      <c r="R112" s="1">
        <v>2</v>
      </c>
      <c r="S112" s="1">
        <f t="shared" si="17"/>
        <v>1920</v>
      </c>
    </row>
    <row r="113" spans="1:19">
      <c r="A113" s="1">
        <f t="shared" si="13"/>
        <v>111</v>
      </c>
      <c r="B113" s="1">
        <v>39595800</v>
      </c>
      <c r="C113" s="1" t="s">
        <v>104</v>
      </c>
      <c r="D113" s="1" t="s">
        <v>88</v>
      </c>
      <c r="E113" s="1">
        <v>1</v>
      </c>
      <c r="F113" s="24">
        <v>107841</v>
      </c>
      <c r="G113" s="37">
        <v>40917</v>
      </c>
      <c r="H113" s="37">
        <v>40923</v>
      </c>
      <c r="I113" s="12">
        <v>270</v>
      </c>
      <c r="J113" s="1">
        <v>48</v>
      </c>
      <c r="K113" s="1">
        <v>20</v>
      </c>
      <c r="L113" s="13">
        <f t="shared" si="14"/>
        <v>6750</v>
      </c>
      <c r="M113" s="1">
        <f t="shared" si="15"/>
        <v>960</v>
      </c>
      <c r="N113" s="1">
        <v>884.21052631578948</v>
      </c>
      <c r="O113" s="1">
        <v>320</v>
      </c>
      <c r="P113" s="1">
        <v>4</v>
      </c>
      <c r="Q113" s="1">
        <f t="shared" si="16"/>
        <v>3840</v>
      </c>
      <c r="R113" s="1">
        <v>2</v>
      </c>
      <c r="S113" s="1">
        <f t="shared" si="17"/>
        <v>1920</v>
      </c>
    </row>
    <row r="114" spans="1:19">
      <c r="A114" s="1">
        <f t="shared" si="13"/>
        <v>112</v>
      </c>
      <c r="B114" s="1">
        <v>39761055</v>
      </c>
      <c r="C114" s="1" t="s">
        <v>105</v>
      </c>
      <c r="D114" s="1" t="s">
        <v>17</v>
      </c>
      <c r="E114" s="1">
        <v>2</v>
      </c>
      <c r="F114" s="24">
        <v>20020</v>
      </c>
      <c r="G114" s="37">
        <v>40917</v>
      </c>
      <c r="H114" s="37">
        <v>40924</v>
      </c>
      <c r="I114" s="12">
        <v>270</v>
      </c>
      <c r="J114" s="1">
        <v>48</v>
      </c>
      <c r="K114" s="1">
        <v>20</v>
      </c>
      <c r="L114" s="13">
        <f t="shared" si="14"/>
        <v>3375</v>
      </c>
      <c r="M114" s="1">
        <f t="shared" si="15"/>
        <v>960</v>
      </c>
      <c r="N114" s="1">
        <v>646.15384615384608</v>
      </c>
      <c r="O114" s="1">
        <v>180</v>
      </c>
      <c r="P114" s="1">
        <v>4</v>
      </c>
      <c r="Q114" s="1">
        <f t="shared" si="16"/>
        <v>3840</v>
      </c>
      <c r="R114" s="1">
        <v>2</v>
      </c>
      <c r="S114" s="1">
        <f t="shared" si="17"/>
        <v>1920</v>
      </c>
    </row>
    <row r="115" spans="1:19">
      <c r="A115" s="1">
        <f t="shared" si="13"/>
        <v>113</v>
      </c>
      <c r="B115" s="1">
        <v>39565299</v>
      </c>
      <c r="C115" s="1" t="s">
        <v>105</v>
      </c>
      <c r="D115" s="1" t="s">
        <v>17</v>
      </c>
      <c r="E115" s="1">
        <v>2</v>
      </c>
      <c r="F115" s="24">
        <v>11071</v>
      </c>
      <c r="G115" s="37">
        <v>40923</v>
      </c>
      <c r="H115" s="37">
        <v>40930</v>
      </c>
      <c r="I115" s="12">
        <v>270</v>
      </c>
      <c r="J115" s="1">
        <v>48</v>
      </c>
      <c r="K115" s="1">
        <v>20</v>
      </c>
      <c r="L115" s="13">
        <f t="shared" si="14"/>
        <v>3375</v>
      </c>
      <c r="M115" s="1">
        <f t="shared" si="15"/>
        <v>960</v>
      </c>
      <c r="N115" s="1">
        <v>646.15384615384608</v>
      </c>
      <c r="O115" s="1">
        <v>180</v>
      </c>
      <c r="P115" s="1">
        <v>4</v>
      </c>
      <c r="Q115" s="1">
        <f t="shared" si="16"/>
        <v>3840</v>
      </c>
      <c r="R115" s="1">
        <v>2</v>
      </c>
      <c r="S115" s="1">
        <f t="shared" si="17"/>
        <v>1920</v>
      </c>
    </row>
    <row r="116" spans="1:19">
      <c r="A116" s="1">
        <f t="shared" si="13"/>
        <v>114</v>
      </c>
      <c r="B116" s="1">
        <v>39561088</v>
      </c>
      <c r="C116" s="1" t="s">
        <v>105</v>
      </c>
      <c r="D116" s="1" t="s">
        <v>17</v>
      </c>
      <c r="E116" s="1">
        <v>2</v>
      </c>
      <c r="F116" s="24">
        <v>6801</v>
      </c>
      <c r="G116" s="37">
        <v>40923</v>
      </c>
      <c r="H116" s="37">
        <v>40930</v>
      </c>
      <c r="I116" s="12">
        <v>270</v>
      </c>
      <c r="J116" s="1">
        <v>48</v>
      </c>
      <c r="K116" s="1">
        <v>20</v>
      </c>
      <c r="L116" s="13">
        <f t="shared" si="14"/>
        <v>3375</v>
      </c>
      <c r="M116" s="1">
        <f t="shared" si="15"/>
        <v>960</v>
      </c>
      <c r="N116" s="1">
        <v>646.15384615384608</v>
      </c>
      <c r="O116" s="1">
        <v>180</v>
      </c>
      <c r="P116" s="1">
        <v>4</v>
      </c>
      <c r="Q116" s="1">
        <f t="shared" si="16"/>
        <v>3840</v>
      </c>
      <c r="R116" s="1">
        <v>2</v>
      </c>
      <c r="S116" s="1">
        <f t="shared" si="17"/>
        <v>1920</v>
      </c>
    </row>
    <row r="117" spans="1:19">
      <c r="A117" s="1">
        <f t="shared" si="13"/>
        <v>115</v>
      </c>
      <c r="B117" s="1">
        <v>39595803</v>
      </c>
      <c r="C117" s="1" t="s">
        <v>106</v>
      </c>
      <c r="D117" s="1" t="s">
        <v>88</v>
      </c>
      <c r="E117" s="1">
        <v>1</v>
      </c>
      <c r="F117" s="24">
        <v>149611</v>
      </c>
      <c r="G117" s="37">
        <v>40917</v>
      </c>
      <c r="H117" s="37">
        <v>40923</v>
      </c>
      <c r="I117" s="12">
        <v>290</v>
      </c>
      <c r="J117" s="1">
        <v>48</v>
      </c>
      <c r="K117" s="1">
        <v>20</v>
      </c>
      <c r="L117" s="13">
        <f t="shared" si="14"/>
        <v>7250</v>
      </c>
      <c r="M117" s="1">
        <f t="shared" si="15"/>
        <v>960</v>
      </c>
      <c r="N117" s="1">
        <v>884.21052631578948</v>
      </c>
      <c r="O117" s="1">
        <v>320</v>
      </c>
      <c r="P117" s="1">
        <v>4</v>
      </c>
      <c r="Q117" s="1">
        <f t="shared" si="16"/>
        <v>3840</v>
      </c>
      <c r="R117" s="1">
        <v>2</v>
      </c>
      <c r="S117" s="1">
        <f t="shared" si="17"/>
        <v>1920</v>
      </c>
    </row>
    <row r="118" spans="1:19">
      <c r="A118" s="1">
        <f t="shared" si="13"/>
        <v>116</v>
      </c>
      <c r="B118" s="1">
        <v>39761059</v>
      </c>
      <c r="C118" s="1" t="s">
        <v>106</v>
      </c>
      <c r="D118" s="1" t="s">
        <v>88</v>
      </c>
      <c r="E118" s="1">
        <v>1</v>
      </c>
      <c r="F118" s="24">
        <v>162490</v>
      </c>
      <c r="G118" s="37">
        <v>40917</v>
      </c>
      <c r="H118" s="37">
        <v>40923</v>
      </c>
      <c r="I118" s="12">
        <v>290</v>
      </c>
      <c r="J118" s="1">
        <v>48</v>
      </c>
      <c r="K118" s="1">
        <v>20</v>
      </c>
      <c r="L118" s="13">
        <f t="shared" si="14"/>
        <v>7250</v>
      </c>
      <c r="M118" s="1">
        <f t="shared" si="15"/>
        <v>960</v>
      </c>
      <c r="N118" s="1">
        <v>884.21052631578948</v>
      </c>
      <c r="O118" s="1">
        <v>320</v>
      </c>
      <c r="P118" s="1">
        <v>4</v>
      </c>
      <c r="Q118" s="1">
        <f t="shared" si="16"/>
        <v>3840</v>
      </c>
      <c r="R118" s="1">
        <v>2</v>
      </c>
      <c r="S118" s="1">
        <f t="shared" si="17"/>
        <v>1920</v>
      </c>
    </row>
    <row r="119" spans="1:19">
      <c r="A119" s="1">
        <f t="shared" si="13"/>
        <v>117</v>
      </c>
      <c r="B119" s="1">
        <v>39559243</v>
      </c>
      <c r="C119" s="1" t="s">
        <v>106</v>
      </c>
      <c r="D119" s="1" t="s">
        <v>88</v>
      </c>
      <c r="E119" s="1">
        <v>1</v>
      </c>
      <c r="F119" s="24">
        <v>10096</v>
      </c>
      <c r="G119" s="37">
        <v>40920</v>
      </c>
      <c r="H119" s="37">
        <v>40926</v>
      </c>
      <c r="I119" s="12">
        <v>290</v>
      </c>
      <c r="J119" s="1">
        <v>48</v>
      </c>
      <c r="K119" s="1">
        <v>20</v>
      </c>
      <c r="L119" s="13">
        <f t="shared" si="14"/>
        <v>7250</v>
      </c>
      <c r="M119" s="1">
        <f t="shared" si="15"/>
        <v>960</v>
      </c>
      <c r="N119" s="1">
        <v>884.21052631578948</v>
      </c>
      <c r="O119" s="1">
        <v>320</v>
      </c>
      <c r="P119" s="1">
        <v>4</v>
      </c>
      <c r="Q119" s="1">
        <f t="shared" si="16"/>
        <v>3840</v>
      </c>
      <c r="R119" s="1">
        <v>2</v>
      </c>
      <c r="S119" s="1">
        <f t="shared" si="17"/>
        <v>1920</v>
      </c>
    </row>
    <row r="120" spans="1:19">
      <c r="A120" s="1">
        <f t="shared" si="13"/>
        <v>118</v>
      </c>
      <c r="B120" s="1">
        <v>39559244</v>
      </c>
      <c r="C120" s="1" t="s">
        <v>106</v>
      </c>
      <c r="D120" s="1" t="s">
        <v>88</v>
      </c>
      <c r="E120" s="1">
        <v>1</v>
      </c>
      <c r="F120" s="24">
        <v>13080</v>
      </c>
      <c r="G120" s="37">
        <v>40920</v>
      </c>
      <c r="H120" s="37">
        <v>40926</v>
      </c>
      <c r="I120" s="12">
        <v>290</v>
      </c>
      <c r="J120" s="1">
        <v>48</v>
      </c>
      <c r="K120" s="1">
        <v>20</v>
      </c>
      <c r="L120" s="13">
        <f t="shared" si="14"/>
        <v>7250</v>
      </c>
      <c r="M120" s="1">
        <f t="shared" si="15"/>
        <v>960</v>
      </c>
      <c r="N120" s="1">
        <v>884.21052631578948</v>
      </c>
      <c r="O120" s="1">
        <v>320</v>
      </c>
      <c r="P120" s="1">
        <v>4</v>
      </c>
      <c r="Q120" s="1">
        <f t="shared" si="16"/>
        <v>3840</v>
      </c>
      <c r="R120" s="1">
        <v>2</v>
      </c>
      <c r="S120" s="1">
        <f t="shared" si="17"/>
        <v>1920</v>
      </c>
    </row>
    <row r="121" spans="1:19">
      <c r="A121" s="1">
        <f t="shared" si="13"/>
        <v>119</v>
      </c>
      <c r="B121" s="1">
        <v>39595805</v>
      </c>
      <c r="C121" s="1" t="s">
        <v>43</v>
      </c>
      <c r="D121" s="1" t="s">
        <v>17</v>
      </c>
      <c r="E121" s="1">
        <v>2</v>
      </c>
      <c r="F121" s="24">
        <v>12264</v>
      </c>
      <c r="G121" s="37">
        <v>40917</v>
      </c>
      <c r="H121" s="37">
        <v>40924</v>
      </c>
      <c r="I121" s="12">
        <v>290</v>
      </c>
      <c r="J121" s="1">
        <v>48</v>
      </c>
      <c r="K121" s="1">
        <v>20</v>
      </c>
      <c r="L121" s="13">
        <f t="shared" si="14"/>
        <v>3625</v>
      </c>
      <c r="M121" s="1">
        <f t="shared" si="15"/>
        <v>960</v>
      </c>
      <c r="N121" s="1">
        <v>646.15384615384608</v>
      </c>
      <c r="O121" s="1">
        <v>189.99999999999997</v>
      </c>
      <c r="P121" s="1">
        <v>4</v>
      </c>
      <c r="Q121" s="1">
        <f t="shared" si="16"/>
        <v>3840</v>
      </c>
      <c r="R121" s="1">
        <v>2</v>
      </c>
      <c r="S121" s="1">
        <f t="shared" si="17"/>
        <v>1920</v>
      </c>
    </row>
    <row r="122" spans="1:19">
      <c r="A122" s="1">
        <f t="shared" si="13"/>
        <v>120</v>
      </c>
      <c r="B122" s="1">
        <v>39761060</v>
      </c>
      <c r="C122" s="1" t="s">
        <v>43</v>
      </c>
      <c r="D122" s="1" t="s">
        <v>17</v>
      </c>
      <c r="E122" s="1">
        <v>2</v>
      </c>
      <c r="F122" s="24">
        <v>6249</v>
      </c>
      <c r="G122" s="37">
        <v>40917</v>
      </c>
      <c r="H122" s="37">
        <v>40924</v>
      </c>
      <c r="I122" s="12">
        <v>290</v>
      </c>
      <c r="J122" s="1">
        <v>48</v>
      </c>
      <c r="K122" s="1">
        <v>20</v>
      </c>
      <c r="L122" s="13">
        <f t="shared" si="14"/>
        <v>3625</v>
      </c>
      <c r="M122" s="1">
        <f t="shared" si="15"/>
        <v>960</v>
      </c>
      <c r="N122" s="1">
        <v>646.15384615384608</v>
      </c>
      <c r="O122" s="1">
        <v>189.99999999999997</v>
      </c>
      <c r="P122" s="1">
        <v>4</v>
      </c>
      <c r="Q122" s="1">
        <f t="shared" si="16"/>
        <v>3840</v>
      </c>
      <c r="R122" s="1">
        <v>2</v>
      </c>
      <c r="S122" s="1">
        <f t="shared" si="17"/>
        <v>1920</v>
      </c>
    </row>
    <row r="123" spans="1:19">
      <c r="A123" s="1">
        <f t="shared" si="13"/>
        <v>121</v>
      </c>
      <c r="B123" s="1">
        <v>39563481</v>
      </c>
      <c r="C123" s="1" t="s">
        <v>43</v>
      </c>
      <c r="D123" s="1" t="s">
        <v>17</v>
      </c>
      <c r="E123" s="1">
        <v>2</v>
      </c>
      <c r="F123" s="24">
        <v>112</v>
      </c>
      <c r="G123" s="37">
        <v>40922</v>
      </c>
      <c r="H123" s="37">
        <v>40929</v>
      </c>
      <c r="I123" s="12">
        <v>290</v>
      </c>
      <c r="J123" s="1">
        <v>48</v>
      </c>
      <c r="K123" s="1">
        <v>20</v>
      </c>
      <c r="L123" s="13">
        <f t="shared" si="14"/>
        <v>3625</v>
      </c>
      <c r="M123" s="1">
        <f t="shared" si="15"/>
        <v>960</v>
      </c>
      <c r="N123" s="1">
        <v>646.15384615384608</v>
      </c>
      <c r="O123" s="1">
        <v>189.99999999999997</v>
      </c>
      <c r="P123" s="1">
        <v>4</v>
      </c>
      <c r="Q123" s="1">
        <f t="shared" si="16"/>
        <v>3840</v>
      </c>
      <c r="R123" s="1">
        <v>2</v>
      </c>
      <c r="S123" s="1">
        <f t="shared" si="17"/>
        <v>1920</v>
      </c>
    </row>
    <row r="124" spans="1:19">
      <c r="A124" s="1">
        <f t="shared" si="13"/>
        <v>122</v>
      </c>
      <c r="B124" s="1">
        <v>39562366</v>
      </c>
      <c r="C124" s="1" t="s">
        <v>43</v>
      </c>
      <c r="D124" s="1" t="s">
        <v>17</v>
      </c>
      <c r="E124" s="1">
        <v>2</v>
      </c>
      <c r="F124" s="24">
        <v>1484</v>
      </c>
      <c r="G124" s="37">
        <v>40922</v>
      </c>
      <c r="H124" s="37">
        <v>40929</v>
      </c>
      <c r="I124" s="12">
        <v>290</v>
      </c>
      <c r="J124" s="1">
        <v>48</v>
      </c>
      <c r="K124" s="1">
        <v>20</v>
      </c>
      <c r="L124" s="13">
        <f t="shared" si="14"/>
        <v>3625</v>
      </c>
      <c r="M124" s="1">
        <f t="shared" si="15"/>
        <v>960</v>
      </c>
      <c r="N124" s="1">
        <v>646.15384615384608</v>
      </c>
      <c r="O124" s="1">
        <v>189.99999999999997</v>
      </c>
      <c r="P124" s="1">
        <v>4</v>
      </c>
      <c r="Q124" s="1">
        <f t="shared" si="16"/>
        <v>3840</v>
      </c>
      <c r="R124" s="1">
        <v>2</v>
      </c>
      <c r="S124" s="1">
        <f t="shared" si="17"/>
        <v>1920</v>
      </c>
    </row>
    <row r="125" spans="1:19">
      <c r="A125" s="1">
        <f t="shared" si="13"/>
        <v>123</v>
      </c>
      <c r="B125" s="1">
        <v>39564593</v>
      </c>
      <c r="C125" s="1" t="s">
        <v>43</v>
      </c>
      <c r="D125" s="1" t="s">
        <v>17</v>
      </c>
      <c r="E125" s="1">
        <v>2</v>
      </c>
      <c r="F125" s="24">
        <v>8820</v>
      </c>
      <c r="G125" s="37">
        <v>40923</v>
      </c>
      <c r="H125" s="37">
        <v>40930</v>
      </c>
      <c r="I125" s="12">
        <v>290</v>
      </c>
      <c r="J125" s="1">
        <v>48</v>
      </c>
      <c r="K125" s="1">
        <v>20</v>
      </c>
      <c r="L125" s="13">
        <f t="shared" si="14"/>
        <v>3625</v>
      </c>
      <c r="M125" s="1">
        <f t="shared" si="15"/>
        <v>960</v>
      </c>
      <c r="N125" s="1">
        <v>646.15384615384608</v>
      </c>
      <c r="O125" s="1">
        <v>189.99999999999997</v>
      </c>
      <c r="P125" s="1">
        <v>4</v>
      </c>
      <c r="Q125" s="1">
        <f t="shared" si="16"/>
        <v>3840</v>
      </c>
      <c r="R125" s="1">
        <v>2</v>
      </c>
      <c r="S125" s="1">
        <f t="shared" si="17"/>
        <v>1920</v>
      </c>
    </row>
    <row r="126" spans="1:19">
      <c r="A126" s="1">
        <f t="shared" si="13"/>
        <v>124</v>
      </c>
      <c r="B126" s="1">
        <v>39563480</v>
      </c>
      <c r="C126" s="1" t="s">
        <v>43</v>
      </c>
      <c r="D126" s="1" t="s">
        <v>17</v>
      </c>
      <c r="E126" s="1">
        <v>2</v>
      </c>
      <c r="F126" s="24">
        <v>373</v>
      </c>
      <c r="G126" s="37">
        <v>40919</v>
      </c>
      <c r="H126" s="37">
        <v>40926</v>
      </c>
      <c r="I126" s="12">
        <v>290</v>
      </c>
      <c r="J126" s="1">
        <v>48</v>
      </c>
      <c r="K126" s="1">
        <v>20</v>
      </c>
      <c r="L126" s="13">
        <f t="shared" si="14"/>
        <v>3625</v>
      </c>
      <c r="M126" s="1">
        <f t="shared" si="15"/>
        <v>960</v>
      </c>
      <c r="N126" s="1">
        <v>646.15384615384608</v>
      </c>
      <c r="O126" s="1">
        <v>189.99999999999997</v>
      </c>
      <c r="P126" s="1">
        <v>4</v>
      </c>
      <c r="Q126" s="1">
        <f t="shared" si="16"/>
        <v>3840</v>
      </c>
      <c r="R126" s="1">
        <v>2</v>
      </c>
      <c r="S126" s="1">
        <f t="shared" si="17"/>
        <v>1920</v>
      </c>
    </row>
    <row r="127" spans="1:19">
      <c r="A127" s="1">
        <f t="shared" si="13"/>
        <v>125</v>
      </c>
      <c r="B127" s="1">
        <v>39562367</v>
      </c>
      <c r="C127" s="1" t="s">
        <v>43</v>
      </c>
      <c r="D127" s="1" t="s">
        <v>17</v>
      </c>
      <c r="E127" s="1">
        <v>2</v>
      </c>
      <c r="F127" s="24">
        <v>10234</v>
      </c>
      <c r="G127" s="37">
        <v>40923</v>
      </c>
      <c r="H127" s="37">
        <v>40930</v>
      </c>
      <c r="I127" s="12">
        <v>290</v>
      </c>
      <c r="J127" s="1">
        <v>48</v>
      </c>
      <c r="K127" s="1">
        <v>20</v>
      </c>
      <c r="L127" s="13">
        <f t="shared" si="14"/>
        <v>3625</v>
      </c>
      <c r="M127" s="1">
        <f t="shared" si="15"/>
        <v>960</v>
      </c>
      <c r="N127" s="1">
        <v>646.15384615384608</v>
      </c>
      <c r="O127" s="1">
        <v>189.99999999999997</v>
      </c>
      <c r="P127" s="1">
        <v>4</v>
      </c>
      <c r="Q127" s="1">
        <f t="shared" si="16"/>
        <v>3840</v>
      </c>
      <c r="R127" s="1">
        <v>2</v>
      </c>
      <c r="S127" s="1">
        <f t="shared" si="17"/>
        <v>1920</v>
      </c>
    </row>
    <row r="128" spans="1:19">
      <c r="A128" s="1">
        <f t="shared" si="13"/>
        <v>126</v>
      </c>
      <c r="B128" s="1">
        <v>39569895</v>
      </c>
      <c r="C128" s="1" t="s">
        <v>95</v>
      </c>
      <c r="D128" s="1" t="s">
        <v>11</v>
      </c>
      <c r="E128" s="1">
        <v>1</v>
      </c>
      <c r="F128" s="24">
        <v>141385</v>
      </c>
      <c r="G128" s="37">
        <v>40923</v>
      </c>
      <c r="H128" s="37">
        <v>40928</v>
      </c>
      <c r="I128" s="12">
        <v>1040</v>
      </c>
      <c r="J128" s="1">
        <v>80</v>
      </c>
      <c r="K128" s="1">
        <v>20</v>
      </c>
      <c r="L128" s="13">
        <f t="shared" si="14"/>
        <v>26000</v>
      </c>
      <c r="M128" s="1">
        <f t="shared" si="15"/>
        <v>1600</v>
      </c>
      <c r="N128" s="1">
        <v>944.18604651162798</v>
      </c>
      <c r="O128" s="1">
        <v>300</v>
      </c>
      <c r="P128" s="1">
        <v>4</v>
      </c>
      <c r="Q128" s="1">
        <f t="shared" si="16"/>
        <v>6400</v>
      </c>
      <c r="R128" s="1">
        <v>2</v>
      </c>
      <c r="S128" s="1">
        <f t="shared" si="17"/>
        <v>3200</v>
      </c>
    </row>
    <row r="129" spans="1:19">
      <c r="A129" s="1">
        <f t="shared" si="13"/>
        <v>127</v>
      </c>
      <c r="B129" s="1">
        <v>39595273</v>
      </c>
      <c r="C129" s="1" t="s">
        <v>95</v>
      </c>
      <c r="D129" s="1" t="s">
        <v>11</v>
      </c>
      <c r="E129" s="1">
        <v>1</v>
      </c>
      <c r="F129" s="24">
        <v>203203</v>
      </c>
      <c r="G129" s="37">
        <v>40920</v>
      </c>
      <c r="H129" s="37">
        <v>40925</v>
      </c>
      <c r="I129" s="12">
        <v>1040</v>
      </c>
      <c r="J129" s="1">
        <v>80</v>
      </c>
      <c r="K129" s="1">
        <v>20</v>
      </c>
      <c r="L129" s="13">
        <f t="shared" si="14"/>
        <v>26000</v>
      </c>
      <c r="M129" s="1">
        <f t="shared" si="15"/>
        <v>1600</v>
      </c>
      <c r="N129" s="1">
        <v>944.18604651162798</v>
      </c>
      <c r="O129" s="1">
        <v>300</v>
      </c>
      <c r="P129" s="1">
        <v>4</v>
      </c>
      <c r="Q129" s="1">
        <f t="shared" si="16"/>
        <v>6400</v>
      </c>
      <c r="R129" s="1">
        <v>2</v>
      </c>
      <c r="S129" s="1">
        <f t="shared" si="17"/>
        <v>3200</v>
      </c>
    </row>
    <row r="130" spans="1:19">
      <c r="A130" s="1">
        <f t="shared" si="13"/>
        <v>128</v>
      </c>
      <c r="B130" s="1">
        <v>39678578</v>
      </c>
      <c r="C130" s="1" t="s">
        <v>95</v>
      </c>
      <c r="D130" s="1" t="s">
        <v>11</v>
      </c>
      <c r="E130" s="1">
        <v>1</v>
      </c>
      <c r="F130" s="24">
        <v>500500</v>
      </c>
      <c r="G130" s="37">
        <v>40920</v>
      </c>
      <c r="H130" s="37">
        <v>40925</v>
      </c>
      <c r="I130" s="12">
        <v>1040</v>
      </c>
      <c r="J130" s="1">
        <v>80</v>
      </c>
      <c r="K130" s="1">
        <v>20</v>
      </c>
      <c r="L130" s="13">
        <f t="shared" si="14"/>
        <v>26000</v>
      </c>
      <c r="M130" s="1">
        <f t="shared" si="15"/>
        <v>1600</v>
      </c>
      <c r="N130" s="1">
        <v>944.18604651162798</v>
      </c>
      <c r="O130" s="1">
        <v>300</v>
      </c>
      <c r="P130" s="1">
        <v>4</v>
      </c>
      <c r="Q130" s="1">
        <f t="shared" si="16"/>
        <v>6400</v>
      </c>
      <c r="R130" s="1">
        <v>2</v>
      </c>
      <c r="S130" s="1">
        <f t="shared" si="17"/>
        <v>3200</v>
      </c>
    </row>
    <row r="131" spans="1:19">
      <c r="A131" s="1">
        <f t="shared" si="13"/>
        <v>129</v>
      </c>
      <c r="B131" s="1">
        <v>39762316</v>
      </c>
      <c r="C131" s="1" t="s">
        <v>95</v>
      </c>
      <c r="D131" s="1" t="s">
        <v>11</v>
      </c>
      <c r="E131" s="1">
        <v>1</v>
      </c>
      <c r="F131" s="24">
        <v>402400</v>
      </c>
      <c r="G131" s="37">
        <v>40920</v>
      </c>
      <c r="H131" s="37">
        <v>40925</v>
      </c>
      <c r="I131" s="12">
        <v>1040</v>
      </c>
      <c r="J131" s="1">
        <v>80</v>
      </c>
      <c r="K131" s="1">
        <v>20</v>
      </c>
      <c r="L131" s="13">
        <f t="shared" ref="L131:L142" si="18">I131*25/E131</f>
        <v>26000</v>
      </c>
      <c r="M131" s="1">
        <f t="shared" ref="M131:M142" si="19">K131*J131</f>
        <v>1600</v>
      </c>
      <c r="N131" s="1">
        <v>944.18604651162798</v>
      </c>
      <c r="O131" s="1">
        <v>300</v>
      </c>
      <c r="P131" s="1">
        <v>4</v>
      </c>
      <c r="Q131" s="1">
        <f t="shared" ref="Q131:Q162" si="20">P131*M131</f>
        <v>6400</v>
      </c>
      <c r="R131" s="1">
        <v>2</v>
      </c>
      <c r="S131" s="1">
        <f t="shared" ref="S131:S162" si="21">M131*R131</f>
        <v>3200</v>
      </c>
    </row>
    <row r="132" spans="1:19">
      <c r="A132" s="1">
        <f t="shared" si="13"/>
        <v>130</v>
      </c>
      <c r="B132" s="1">
        <v>39595270</v>
      </c>
      <c r="C132" s="1" t="s">
        <v>95</v>
      </c>
      <c r="D132" s="1" t="s">
        <v>11</v>
      </c>
      <c r="E132" s="1">
        <v>1</v>
      </c>
      <c r="F132" s="24">
        <v>376376</v>
      </c>
      <c r="G132" s="37">
        <v>40920</v>
      </c>
      <c r="H132" s="37">
        <v>40925</v>
      </c>
      <c r="I132" s="12">
        <v>1040</v>
      </c>
      <c r="J132" s="1">
        <v>80</v>
      </c>
      <c r="K132" s="1">
        <v>20</v>
      </c>
      <c r="L132" s="13">
        <f t="shared" si="18"/>
        <v>26000</v>
      </c>
      <c r="M132" s="1">
        <f t="shared" si="19"/>
        <v>1600</v>
      </c>
      <c r="N132" s="1">
        <v>944.18604651162798</v>
      </c>
      <c r="O132" s="1">
        <v>300</v>
      </c>
      <c r="P132" s="1">
        <v>4</v>
      </c>
      <c r="Q132" s="1">
        <f t="shared" si="20"/>
        <v>6400</v>
      </c>
      <c r="R132" s="1">
        <v>2</v>
      </c>
      <c r="S132" s="1">
        <f t="shared" si="21"/>
        <v>3200</v>
      </c>
    </row>
    <row r="133" spans="1:19">
      <c r="A133" s="1">
        <f t="shared" ref="A133:A142" si="22">A132+1</f>
        <v>131</v>
      </c>
      <c r="B133" s="1">
        <v>39678579</v>
      </c>
      <c r="C133" s="1" t="s">
        <v>95</v>
      </c>
      <c r="D133" s="1" t="s">
        <v>11</v>
      </c>
      <c r="E133" s="1">
        <v>1</v>
      </c>
      <c r="F133" s="24">
        <v>500500</v>
      </c>
      <c r="G133" s="37">
        <v>40920</v>
      </c>
      <c r="H133" s="37">
        <v>40925</v>
      </c>
      <c r="I133" s="12">
        <v>1040</v>
      </c>
      <c r="J133" s="1">
        <v>80</v>
      </c>
      <c r="K133" s="1">
        <v>20</v>
      </c>
      <c r="L133" s="13">
        <f t="shared" si="18"/>
        <v>26000</v>
      </c>
      <c r="M133" s="1">
        <f t="shared" si="19"/>
        <v>1600</v>
      </c>
      <c r="N133" s="1">
        <v>944.18604651162798</v>
      </c>
      <c r="O133" s="1">
        <v>300</v>
      </c>
      <c r="P133" s="1">
        <v>4</v>
      </c>
      <c r="Q133" s="1">
        <f t="shared" si="20"/>
        <v>6400</v>
      </c>
      <c r="R133" s="1">
        <v>2</v>
      </c>
      <c r="S133" s="1">
        <f t="shared" si="21"/>
        <v>3200</v>
      </c>
    </row>
    <row r="134" spans="1:19">
      <c r="A134" s="1">
        <f t="shared" si="22"/>
        <v>132</v>
      </c>
      <c r="B134" s="1">
        <v>39595274</v>
      </c>
      <c r="C134" s="1" t="s">
        <v>95</v>
      </c>
      <c r="D134" s="1" t="s">
        <v>11</v>
      </c>
      <c r="E134" s="1">
        <v>1</v>
      </c>
      <c r="F134" s="24">
        <v>71071</v>
      </c>
      <c r="G134" s="37">
        <v>40920</v>
      </c>
      <c r="H134" s="37">
        <v>40925</v>
      </c>
      <c r="I134" s="12">
        <v>1040</v>
      </c>
      <c r="J134" s="1">
        <v>80</v>
      </c>
      <c r="K134" s="1">
        <v>20</v>
      </c>
      <c r="L134" s="13">
        <f t="shared" si="18"/>
        <v>26000</v>
      </c>
      <c r="M134" s="1">
        <f t="shared" si="19"/>
        <v>1600</v>
      </c>
      <c r="N134" s="1">
        <v>944.18604651162798</v>
      </c>
      <c r="O134" s="1">
        <v>300</v>
      </c>
      <c r="P134" s="1">
        <v>4</v>
      </c>
      <c r="Q134" s="1">
        <f t="shared" si="20"/>
        <v>6400</v>
      </c>
      <c r="R134" s="1">
        <v>2</v>
      </c>
      <c r="S134" s="1">
        <f t="shared" si="21"/>
        <v>3200</v>
      </c>
    </row>
    <row r="135" spans="1:19">
      <c r="A135" s="1">
        <f t="shared" si="22"/>
        <v>133</v>
      </c>
      <c r="B135" s="1">
        <v>39559252</v>
      </c>
      <c r="C135" s="1" t="s">
        <v>95</v>
      </c>
      <c r="D135" s="1" t="s">
        <v>11</v>
      </c>
      <c r="E135" s="1">
        <v>1</v>
      </c>
      <c r="F135" s="24">
        <v>29733</v>
      </c>
      <c r="G135" s="37">
        <v>40922</v>
      </c>
      <c r="H135" s="37">
        <v>40927</v>
      </c>
      <c r="I135" s="12">
        <v>1040</v>
      </c>
      <c r="J135" s="1">
        <v>80</v>
      </c>
      <c r="K135" s="1">
        <v>20</v>
      </c>
      <c r="L135" s="13">
        <f t="shared" si="18"/>
        <v>26000</v>
      </c>
      <c r="M135" s="1">
        <f t="shared" si="19"/>
        <v>1600</v>
      </c>
      <c r="N135" s="1">
        <v>944.18604651162798</v>
      </c>
      <c r="O135" s="1">
        <v>300</v>
      </c>
      <c r="P135" s="1">
        <v>4</v>
      </c>
      <c r="Q135" s="1">
        <f t="shared" si="20"/>
        <v>6400</v>
      </c>
      <c r="R135" s="1">
        <v>2</v>
      </c>
      <c r="S135" s="1">
        <f t="shared" si="21"/>
        <v>3200</v>
      </c>
    </row>
    <row r="136" spans="1:19">
      <c r="A136" s="1">
        <f t="shared" si="22"/>
        <v>134</v>
      </c>
      <c r="B136" s="1">
        <v>39566262</v>
      </c>
      <c r="C136" s="1" t="s">
        <v>95</v>
      </c>
      <c r="D136" s="1" t="s">
        <v>11</v>
      </c>
      <c r="E136" s="1">
        <v>1</v>
      </c>
      <c r="F136" s="24">
        <v>3207</v>
      </c>
      <c r="G136" s="37">
        <v>40923</v>
      </c>
      <c r="H136" s="37">
        <v>40928</v>
      </c>
      <c r="I136" s="12">
        <v>1040</v>
      </c>
      <c r="J136" s="1">
        <v>80</v>
      </c>
      <c r="K136" s="1">
        <v>20</v>
      </c>
      <c r="L136" s="13">
        <f t="shared" si="18"/>
        <v>26000</v>
      </c>
      <c r="M136" s="1">
        <f t="shared" si="19"/>
        <v>1600</v>
      </c>
      <c r="N136" s="1">
        <v>944.18604651162798</v>
      </c>
      <c r="O136" s="1">
        <v>300</v>
      </c>
      <c r="P136" s="1">
        <v>4</v>
      </c>
      <c r="Q136" s="1">
        <f t="shared" si="20"/>
        <v>6400</v>
      </c>
      <c r="R136" s="1">
        <v>2</v>
      </c>
      <c r="S136" s="1">
        <f t="shared" si="21"/>
        <v>3200</v>
      </c>
    </row>
    <row r="137" spans="1:19">
      <c r="A137" s="1">
        <f t="shared" si="22"/>
        <v>135</v>
      </c>
      <c r="B137" s="1">
        <v>39767527</v>
      </c>
      <c r="C137" s="1" t="s">
        <v>129</v>
      </c>
      <c r="D137" s="1" t="s">
        <v>85</v>
      </c>
      <c r="E137" s="1">
        <v>1</v>
      </c>
      <c r="F137" s="24">
        <v>23286</v>
      </c>
      <c r="G137" s="37">
        <v>40920</v>
      </c>
      <c r="H137" s="37">
        <v>40924</v>
      </c>
      <c r="I137" s="12">
        <v>700</v>
      </c>
      <c r="J137" s="1">
        <v>88</v>
      </c>
      <c r="K137" s="1">
        <v>20</v>
      </c>
      <c r="L137" s="13">
        <f t="shared" si="18"/>
        <v>17500</v>
      </c>
      <c r="M137" s="1">
        <f t="shared" si="19"/>
        <v>1760</v>
      </c>
      <c r="N137" s="1">
        <v>944.18604651162798</v>
      </c>
      <c r="O137" s="1">
        <v>320</v>
      </c>
      <c r="P137" s="1">
        <v>4</v>
      </c>
      <c r="Q137" s="1">
        <f t="shared" si="20"/>
        <v>7040</v>
      </c>
      <c r="R137" s="1">
        <v>2</v>
      </c>
      <c r="S137" s="1">
        <f t="shared" si="21"/>
        <v>3520</v>
      </c>
    </row>
    <row r="138" spans="1:19">
      <c r="A138" s="1">
        <f t="shared" si="22"/>
        <v>136</v>
      </c>
      <c r="B138" s="1">
        <v>39561438</v>
      </c>
      <c r="C138" s="1" t="s">
        <v>129</v>
      </c>
      <c r="D138" s="1" t="s">
        <v>85</v>
      </c>
      <c r="E138" s="1">
        <v>1</v>
      </c>
      <c r="F138" s="24">
        <v>20780</v>
      </c>
      <c r="G138" s="37">
        <v>40919</v>
      </c>
      <c r="H138" s="37">
        <v>40923</v>
      </c>
      <c r="I138" s="12">
        <v>700</v>
      </c>
      <c r="J138" s="1">
        <v>88</v>
      </c>
      <c r="K138" s="1">
        <v>20</v>
      </c>
      <c r="L138" s="13">
        <f t="shared" si="18"/>
        <v>17500</v>
      </c>
      <c r="M138" s="1">
        <f t="shared" si="19"/>
        <v>1760</v>
      </c>
      <c r="N138" s="1">
        <v>944.18604651162798</v>
      </c>
      <c r="O138" s="1">
        <v>320</v>
      </c>
      <c r="P138" s="1">
        <v>4</v>
      </c>
      <c r="Q138" s="1">
        <f t="shared" si="20"/>
        <v>7040</v>
      </c>
      <c r="R138" s="1">
        <v>2</v>
      </c>
      <c r="S138" s="1">
        <f t="shared" si="21"/>
        <v>3520</v>
      </c>
    </row>
    <row r="139" spans="1:19">
      <c r="A139" s="1">
        <f t="shared" si="22"/>
        <v>137</v>
      </c>
      <c r="B139" s="1">
        <v>39564682</v>
      </c>
      <c r="C139" s="1" t="s">
        <v>134</v>
      </c>
      <c r="D139" s="1" t="s">
        <v>12</v>
      </c>
      <c r="E139" s="1">
        <v>2</v>
      </c>
      <c r="F139" s="24">
        <v>55932</v>
      </c>
      <c r="G139" s="37">
        <v>40923</v>
      </c>
      <c r="H139" s="37">
        <v>40930</v>
      </c>
      <c r="I139" s="12">
        <v>270</v>
      </c>
      <c r="J139" s="1">
        <v>80</v>
      </c>
      <c r="K139" s="1">
        <v>20</v>
      </c>
      <c r="L139" s="13">
        <f t="shared" si="18"/>
        <v>3375</v>
      </c>
      <c r="M139" s="1">
        <f t="shared" si="19"/>
        <v>1600</v>
      </c>
      <c r="N139" s="1">
        <v>624</v>
      </c>
      <c r="O139" s="1">
        <v>189.99999999999997</v>
      </c>
      <c r="P139" s="1">
        <v>4</v>
      </c>
      <c r="Q139" s="1">
        <f t="shared" si="20"/>
        <v>6400</v>
      </c>
      <c r="R139" s="1">
        <v>2</v>
      </c>
      <c r="S139" s="1">
        <f t="shared" si="21"/>
        <v>3200</v>
      </c>
    </row>
    <row r="140" spans="1:19">
      <c r="A140" s="1">
        <f t="shared" si="22"/>
        <v>138</v>
      </c>
      <c r="B140" s="1">
        <v>39595804</v>
      </c>
      <c r="C140" s="1" t="s">
        <v>130</v>
      </c>
      <c r="D140" s="1" t="s">
        <v>16</v>
      </c>
      <c r="E140" s="1">
        <v>2</v>
      </c>
      <c r="F140" s="24">
        <v>30030</v>
      </c>
      <c r="G140" s="37">
        <v>40917</v>
      </c>
      <c r="H140" s="37">
        <v>40924</v>
      </c>
      <c r="I140" s="12">
        <v>360</v>
      </c>
      <c r="J140" s="1">
        <v>66</v>
      </c>
      <c r="K140" s="1">
        <v>20</v>
      </c>
      <c r="L140" s="13">
        <f t="shared" si="18"/>
        <v>4500</v>
      </c>
      <c r="M140" s="1">
        <f t="shared" si="19"/>
        <v>1320</v>
      </c>
      <c r="N140" s="1">
        <v>646.15384615384608</v>
      </c>
      <c r="O140" s="1">
        <v>200</v>
      </c>
      <c r="P140" s="1">
        <v>4</v>
      </c>
      <c r="Q140" s="1">
        <f t="shared" si="20"/>
        <v>5280</v>
      </c>
      <c r="R140" s="1">
        <v>2</v>
      </c>
      <c r="S140" s="1">
        <f t="shared" si="21"/>
        <v>2640</v>
      </c>
    </row>
    <row r="141" spans="1:19">
      <c r="A141" s="1">
        <f t="shared" si="22"/>
        <v>139</v>
      </c>
      <c r="B141" s="1">
        <v>39761061</v>
      </c>
      <c r="C141" s="1" t="s">
        <v>130</v>
      </c>
      <c r="D141" s="1" t="s">
        <v>16</v>
      </c>
      <c r="E141" s="1">
        <v>2</v>
      </c>
      <c r="F141" s="24">
        <v>9674</v>
      </c>
      <c r="G141" s="37">
        <v>40917</v>
      </c>
      <c r="H141" s="37">
        <v>40924</v>
      </c>
      <c r="I141" s="12">
        <v>360</v>
      </c>
      <c r="J141" s="1">
        <v>66</v>
      </c>
      <c r="K141" s="1">
        <v>20</v>
      </c>
      <c r="L141" s="13">
        <f t="shared" si="18"/>
        <v>4500</v>
      </c>
      <c r="M141" s="1">
        <f t="shared" si="19"/>
        <v>1320</v>
      </c>
      <c r="N141" s="1">
        <v>646.15384615384608</v>
      </c>
      <c r="O141" s="1">
        <v>200</v>
      </c>
      <c r="P141" s="1">
        <v>4</v>
      </c>
      <c r="Q141" s="1">
        <f t="shared" si="20"/>
        <v>5280</v>
      </c>
      <c r="R141" s="1">
        <v>2</v>
      </c>
      <c r="S141" s="1">
        <f t="shared" si="21"/>
        <v>2640</v>
      </c>
    </row>
    <row r="142" spans="1:19">
      <c r="A142" s="1">
        <f t="shared" si="22"/>
        <v>140</v>
      </c>
      <c r="B142" s="1">
        <v>39595265</v>
      </c>
      <c r="C142" s="1" t="s">
        <v>131</v>
      </c>
      <c r="D142" s="1" t="s">
        <v>11</v>
      </c>
      <c r="E142" s="1">
        <v>1</v>
      </c>
      <c r="F142" s="24">
        <v>15005</v>
      </c>
      <c r="G142" s="37">
        <v>40920</v>
      </c>
      <c r="H142" s="37">
        <v>40926</v>
      </c>
      <c r="I142" s="12">
        <v>556</v>
      </c>
      <c r="J142" s="1">
        <v>80</v>
      </c>
      <c r="K142" s="1">
        <v>20</v>
      </c>
      <c r="L142" s="13">
        <f t="shared" si="18"/>
        <v>13900</v>
      </c>
      <c r="M142" s="1">
        <f t="shared" si="19"/>
        <v>1600</v>
      </c>
      <c r="N142" s="1">
        <v>944.18604651162798</v>
      </c>
      <c r="O142" s="1">
        <v>300</v>
      </c>
      <c r="P142" s="1">
        <v>4</v>
      </c>
      <c r="Q142" s="1">
        <f t="shared" si="20"/>
        <v>6400</v>
      </c>
      <c r="R142" s="1">
        <v>2</v>
      </c>
      <c r="S142" s="1">
        <f t="shared" si="21"/>
        <v>3200</v>
      </c>
    </row>
  </sheetData>
  <autoFilter ref="B2:AY142">
    <filterColumn colId="10"/>
    <filterColumn colId="11"/>
  </autoFilter>
  <mergeCells count="2">
    <mergeCell ref="P1:Q1"/>
    <mergeCell ref="R1:S1"/>
  </mergeCells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43"/>
  <sheetViews>
    <sheetView topLeftCell="A22" workbookViewId="0">
      <selection activeCell="B28" sqref="B28"/>
    </sheetView>
  </sheetViews>
  <sheetFormatPr defaultRowHeight="15"/>
  <cols>
    <col min="1" max="2" width="9" style="32"/>
    <col min="3" max="3" width="17.75" style="32" bestFit="1" customWidth="1"/>
    <col min="4" max="4" width="4.875" style="32" bestFit="1" customWidth="1"/>
    <col min="5" max="6" width="12.625" style="32" bestFit="1" customWidth="1"/>
    <col min="7" max="7" width="18.375" style="32" bestFit="1" customWidth="1"/>
    <col min="8" max="8" width="21.375" style="32" bestFit="1" customWidth="1"/>
    <col min="9" max="9" width="13" style="32" bestFit="1" customWidth="1"/>
    <col min="10" max="10" width="21.375" style="32" customWidth="1"/>
    <col min="11" max="11" width="13" style="32" customWidth="1"/>
    <col min="12" max="13" width="16.875" style="32" bestFit="1" customWidth="1"/>
    <col min="14" max="14" width="9" style="32" customWidth="1"/>
    <col min="15" max="15" width="7.625" style="32" customWidth="1"/>
    <col min="16" max="16384" width="9" style="32"/>
  </cols>
  <sheetData>
    <row r="1" spans="2:15" ht="31.5" customHeight="1">
      <c r="L1" s="33" t="s">
        <v>219</v>
      </c>
      <c r="M1" s="33" t="s">
        <v>219</v>
      </c>
      <c r="N1" s="39" t="s">
        <v>217</v>
      </c>
      <c r="O1" s="39"/>
    </row>
    <row r="2" spans="2:15" s="31" customFormat="1" ht="18.75">
      <c r="C2" s="30" t="s">
        <v>218</v>
      </c>
      <c r="D2" s="30" t="s">
        <v>223</v>
      </c>
      <c r="E2" s="30" t="s">
        <v>213</v>
      </c>
      <c r="F2" s="30" t="s">
        <v>215</v>
      </c>
      <c r="G2" s="30" t="s">
        <v>216</v>
      </c>
      <c r="H2" s="30" t="s">
        <v>220</v>
      </c>
      <c r="I2" s="30" t="s">
        <v>214</v>
      </c>
      <c r="J2" s="30" t="s">
        <v>222</v>
      </c>
      <c r="K2" s="30" t="s">
        <v>221</v>
      </c>
      <c r="L2" s="30" t="s">
        <v>26</v>
      </c>
      <c r="M2" s="30" t="s">
        <v>27</v>
      </c>
      <c r="N2" s="30" t="s">
        <v>26</v>
      </c>
      <c r="O2" s="30" t="s">
        <v>27</v>
      </c>
    </row>
    <row r="3" spans="2:15">
      <c r="B3" s="32">
        <v>1</v>
      </c>
      <c r="C3" s="32">
        <f>Loading!B3</f>
        <v>39568872</v>
      </c>
      <c r="D3" s="32">
        <f>Loading!E3</f>
        <v>1</v>
      </c>
      <c r="E3" s="32">
        <f>Loading!F3</f>
        <v>20957</v>
      </c>
      <c r="F3" s="32">
        <f>Loading!J3</f>
        <v>80</v>
      </c>
      <c r="G3" s="32">
        <f>Loading!K3</f>
        <v>20</v>
      </c>
      <c r="H3" s="32">
        <f>Loading!P3</f>
        <v>4</v>
      </c>
      <c r="I3" s="35">
        <f>ROUND(E3/F3,0)</f>
        <v>262</v>
      </c>
      <c r="J3" s="34" t="str">
        <f>Loading!C3</f>
        <v>54-82-06534-002G</v>
      </c>
      <c r="K3" s="34">
        <f t="shared" ref="K3:K34" si="0">ROUND(I3/G3,0)</f>
        <v>13</v>
      </c>
      <c r="L3" s="34">
        <f t="shared" ref="L3:L34" si="1">ROUND(F3*G3/N3,2)</f>
        <v>1.69</v>
      </c>
      <c r="M3" s="34">
        <f t="shared" ref="M3:M34" si="2">ROUND(F3*G3/O3,2)</f>
        <v>5.33</v>
      </c>
      <c r="N3" s="32">
        <f>ROUND(Loading!N3,2)</f>
        <v>944</v>
      </c>
      <c r="O3" s="32">
        <f>Loading!O3</f>
        <v>300</v>
      </c>
    </row>
    <row r="4" spans="2:15">
      <c r="B4" s="32">
        <f>B3+1</f>
        <v>2</v>
      </c>
      <c r="C4" s="32">
        <f>Loading!B4</f>
        <v>39595268</v>
      </c>
      <c r="D4" s="32">
        <f>Loading!E4</f>
        <v>1</v>
      </c>
      <c r="E4" s="32">
        <f>Loading!F4</f>
        <v>200600</v>
      </c>
      <c r="F4" s="32">
        <f>Loading!J4</f>
        <v>80</v>
      </c>
      <c r="G4" s="32">
        <f>Loading!K4</f>
        <v>20</v>
      </c>
      <c r="H4" s="32">
        <f>Loading!P4</f>
        <v>4</v>
      </c>
      <c r="I4" s="35">
        <f>ROUND(E4/F4,0)</f>
        <v>2508</v>
      </c>
      <c r="J4" s="34" t="str">
        <f>Loading!C4</f>
        <v>54-82-07808-002G</v>
      </c>
      <c r="K4" s="34">
        <f t="shared" si="0"/>
        <v>125</v>
      </c>
      <c r="L4" s="34">
        <f t="shared" si="1"/>
        <v>1.69</v>
      </c>
      <c r="M4" s="34">
        <f t="shared" si="2"/>
        <v>4.4400000000000004</v>
      </c>
      <c r="N4" s="32">
        <f>ROUND(Loading!N4,2)</f>
        <v>944.19</v>
      </c>
      <c r="O4" s="32">
        <f>Loading!O4</f>
        <v>360</v>
      </c>
    </row>
    <row r="5" spans="2:15">
      <c r="B5" s="32">
        <f t="shared" ref="B5:B68" si="3">B4+1</f>
        <v>3</v>
      </c>
      <c r="C5" s="32">
        <f>Loading!B5</f>
        <v>39567356</v>
      </c>
      <c r="D5" s="32">
        <f>Loading!E5</f>
        <v>2</v>
      </c>
      <c r="E5" s="32">
        <f>Loading!F5</f>
        <v>19835</v>
      </c>
      <c r="F5" s="32">
        <f>Loading!J5</f>
        <v>80</v>
      </c>
      <c r="G5" s="32">
        <f>Loading!K5</f>
        <v>20</v>
      </c>
      <c r="H5" s="32">
        <f>Loading!P5</f>
        <v>4</v>
      </c>
      <c r="I5" s="35">
        <f>ROUND(E5/F5,0)</f>
        <v>248</v>
      </c>
      <c r="J5" s="34" t="str">
        <f>Loading!C5</f>
        <v>54-82-08505-016G</v>
      </c>
      <c r="K5" s="34">
        <f t="shared" si="0"/>
        <v>12</v>
      </c>
      <c r="L5" s="34">
        <f t="shared" si="1"/>
        <v>2.56</v>
      </c>
      <c r="M5" s="34">
        <f t="shared" si="2"/>
        <v>8.42</v>
      </c>
      <c r="N5" s="32">
        <f>ROUND(Loading!N5,2)</f>
        <v>624</v>
      </c>
      <c r="O5" s="32">
        <f>Loading!O5</f>
        <v>189.99999999999997</v>
      </c>
    </row>
    <row r="6" spans="2:15">
      <c r="B6" s="32">
        <f t="shared" si="3"/>
        <v>4</v>
      </c>
      <c r="C6" s="32">
        <f>Loading!B6</f>
        <v>39595810</v>
      </c>
      <c r="D6" s="32">
        <f>Loading!E6</f>
        <v>2</v>
      </c>
      <c r="E6" s="32">
        <f>Loading!F6</f>
        <v>37988</v>
      </c>
      <c r="F6" s="32">
        <f>Loading!J6</f>
        <v>80</v>
      </c>
      <c r="G6" s="32">
        <f>Loading!K6</f>
        <v>20</v>
      </c>
      <c r="H6" s="32">
        <f>Loading!P6</f>
        <v>4</v>
      </c>
      <c r="I6" s="35">
        <f>ROUND(E6/F6,0)</f>
        <v>475</v>
      </c>
      <c r="J6" s="34" t="str">
        <f>Loading!C6</f>
        <v>54-82-08505-016G</v>
      </c>
      <c r="K6" s="34">
        <f t="shared" si="0"/>
        <v>24</v>
      </c>
      <c r="L6" s="34">
        <f t="shared" si="1"/>
        <v>2.56</v>
      </c>
      <c r="M6" s="34">
        <f t="shared" si="2"/>
        <v>8.42</v>
      </c>
      <c r="N6" s="32">
        <f>ROUND(Loading!N6,2)</f>
        <v>624</v>
      </c>
      <c r="O6" s="32">
        <f>Loading!O6</f>
        <v>189.99999999999997</v>
      </c>
    </row>
    <row r="7" spans="2:15">
      <c r="B7" s="32">
        <f t="shared" si="3"/>
        <v>5</v>
      </c>
      <c r="C7" s="32">
        <f>Loading!B7</f>
        <v>39564037</v>
      </c>
      <c r="D7" s="32">
        <f>Loading!E7</f>
        <v>2</v>
      </c>
      <c r="E7" s="32">
        <f>Loading!F7</f>
        <v>16</v>
      </c>
      <c r="F7" s="32">
        <f>Loading!J7</f>
        <v>80</v>
      </c>
      <c r="G7" s="32">
        <f>Loading!K7</f>
        <v>20</v>
      </c>
      <c r="H7" s="32">
        <f>Loading!P7</f>
        <v>4</v>
      </c>
      <c r="I7" s="36">
        <v>1</v>
      </c>
      <c r="J7" s="34" t="str">
        <f>Loading!C7</f>
        <v>54-82-08505-016G</v>
      </c>
      <c r="K7" s="34">
        <f t="shared" si="0"/>
        <v>0</v>
      </c>
      <c r="L7" s="34">
        <f t="shared" si="1"/>
        <v>2.56</v>
      </c>
      <c r="M7" s="34">
        <f t="shared" si="2"/>
        <v>8.42</v>
      </c>
      <c r="N7" s="32">
        <f>ROUND(Loading!N7,2)</f>
        <v>624</v>
      </c>
      <c r="O7" s="32">
        <f>Loading!O7</f>
        <v>189.99999999999997</v>
      </c>
    </row>
    <row r="8" spans="2:15">
      <c r="B8" s="32">
        <f t="shared" si="3"/>
        <v>6</v>
      </c>
      <c r="C8" s="32">
        <f>Loading!B8</f>
        <v>39761056</v>
      </c>
      <c r="D8" s="32">
        <f>Loading!E8</f>
        <v>2</v>
      </c>
      <c r="E8" s="32">
        <f>Loading!F8</f>
        <v>4252</v>
      </c>
      <c r="F8" s="32">
        <f>Loading!J8</f>
        <v>80</v>
      </c>
      <c r="G8" s="32">
        <f>Loading!K8</f>
        <v>20</v>
      </c>
      <c r="H8" s="32">
        <f>Loading!P8</f>
        <v>4</v>
      </c>
      <c r="I8" s="35">
        <f t="shared" ref="I8:I39" si="4">ROUND(E8/F8,0)</f>
        <v>53</v>
      </c>
      <c r="J8" s="34" t="str">
        <f>Loading!C8</f>
        <v>54-82-08505-016G</v>
      </c>
      <c r="K8" s="34">
        <f t="shared" si="0"/>
        <v>3</v>
      </c>
      <c r="L8" s="34">
        <f t="shared" si="1"/>
        <v>2.56</v>
      </c>
      <c r="M8" s="34">
        <f t="shared" si="2"/>
        <v>8.42</v>
      </c>
      <c r="N8" s="32">
        <f>ROUND(Loading!N8,2)</f>
        <v>624</v>
      </c>
      <c r="O8" s="32">
        <f>Loading!O8</f>
        <v>189.99999999999997</v>
      </c>
    </row>
    <row r="9" spans="2:15">
      <c r="B9" s="32">
        <f t="shared" si="3"/>
        <v>7</v>
      </c>
      <c r="C9" s="32">
        <f>Loading!B9</f>
        <v>39559637</v>
      </c>
      <c r="D9" s="32">
        <f>Loading!E9</f>
        <v>2</v>
      </c>
      <c r="E9" s="32">
        <f>Loading!F9</f>
        <v>12099</v>
      </c>
      <c r="F9" s="32">
        <f>Loading!J9</f>
        <v>80</v>
      </c>
      <c r="G9" s="32">
        <f>Loading!K9</f>
        <v>20</v>
      </c>
      <c r="H9" s="32">
        <f>Loading!P9</f>
        <v>4</v>
      </c>
      <c r="I9" s="35">
        <f t="shared" si="4"/>
        <v>151</v>
      </c>
      <c r="J9" s="34" t="str">
        <f>Loading!C9</f>
        <v>54-82-08505-016G</v>
      </c>
      <c r="K9" s="34">
        <f t="shared" si="0"/>
        <v>8</v>
      </c>
      <c r="L9" s="34">
        <f t="shared" si="1"/>
        <v>2.56</v>
      </c>
      <c r="M9" s="34">
        <f t="shared" si="2"/>
        <v>8.42</v>
      </c>
      <c r="N9" s="32">
        <f>ROUND(Loading!N9,2)</f>
        <v>624</v>
      </c>
      <c r="O9" s="32">
        <f>Loading!O9</f>
        <v>189.99999999999997</v>
      </c>
    </row>
    <row r="10" spans="2:15">
      <c r="B10" s="32">
        <f t="shared" si="3"/>
        <v>8</v>
      </c>
      <c r="C10" s="32">
        <f>Loading!B10</f>
        <v>39559636</v>
      </c>
      <c r="D10" s="32">
        <f>Loading!E10</f>
        <v>2</v>
      </c>
      <c r="E10" s="32">
        <f>Loading!F10</f>
        <v>2186</v>
      </c>
      <c r="F10" s="32">
        <f>Loading!J10</f>
        <v>80</v>
      </c>
      <c r="G10" s="32">
        <f>Loading!K10</f>
        <v>20</v>
      </c>
      <c r="H10" s="32">
        <f>Loading!P10</f>
        <v>4</v>
      </c>
      <c r="I10" s="35">
        <f t="shared" si="4"/>
        <v>27</v>
      </c>
      <c r="J10" s="34" t="str">
        <f>Loading!C10</f>
        <v>54-82-08505-016G</v>
      </c>
      <c r="K10" s="34">
        <f t="shared" si="0"/>
        <v>1</v>
      </c>
      <c r="L10" s="34">
        <f t="shared" si="1"/>
        <v>2.56</v>
      </c>
      <c r="M10" s="34">
        <f t="shared" si="2"/>
        <v>8.42</v>
      </c>
      <c r="N10" s="32">
        <f>ROUND(Loading!N10,2)</f>
        <v>624</v>
      </c>
      <c r="O10" s="32">
        <f>Loading!O10</f>
        <v>189.99999999999997</v>
      </c>
    </row>
    <row r="11" spans="2:15">
      <c r="B11" s="32">
        <f t="shared" si="3"/>
        <v>9</v>
      </c>
      <c r="C11" s="32">
        <f>Loading!B11</f>
        <v>39562812</v>
      </c>
      <c r="D11" s="32">
        <f>Loading!E11</f>
        <v>2</v>
      </c>
      <c r="E11" s="32">
        <f>Loading!F11</f>
        <v>2789</v>
      </c>
      <c r="F11" s="32">
        <f>Loading!J11</f>
        <v>80</v>
      </c>
      <c r="G11" s="32">
        <f>Loading!K11</f>
        <v>20</v>
      </c>
      <c r="H11" s="32">
        <f>Loading!P11</f>
        <v>4</v>
      </c>
      <c r="I11" s="35">
        <f t="shared" si="4"/>
        <v>35</v>
      </c>
      <c r="J11" s="34" t="str">
        <f>Loading!C11</f>
        <v>54-82-08505-016G</v>
      </c>
      <c r="K11" s="34">
        <f t="shared" si="0"/>
        <v>2</v>
      </c>
      <c r="L11" s="34">
        <f t="shared" si="1"/>
        <v>2.56</v>
      </c>
      <c r="M11" s="34">
        <f t="shared" si="2"/>
        <v>8.42</v>
      </c>
      <c r="N11" s="32">
        <f>ROUND(Loading!N11,2)</f>
        <v>624</v>
      </c>
      <c r="O11" s="32">
        <f>Loading!O11</f>
        <v>189.99999999999997</v>
      </c>
    </row>
    <row r="12" spans="2:15">
      <c r="B12" s="32">
        <f t="shared" si="3"/>
        <v>10</v>
      </c>
      <c r="C12" s="32">
        <f>Loading!B12</f>
        <v>39562813</v>
      </c>
      <c r="D12" s="32">
        <f>Loading!E12</f>
        <v>2</v>
      </c>
      <c r="E12" s="32">
        <f>Loading!F12</f>
        <v>456</v>
      </c>
      <c r="F12" s="32">
        <f>Loading!J12</f>
        <v>80</v>
      </c>
      <c r="G12" s="32">
        <f>Loading!K12</f>
        <v>20</v>
      </c>
      <c r="H12" s="32">
        <f>Loading!P12</f>
        <v>4</v>
      </c>
      <c r="I12" s="35">
        <f t="shared" si="4"/>
        <v>6</v>
      </c>
      <c r="J12" s="34" t="str">
        <f>Loading!C12</f>
        <v>54-82-08505-016G</v>
      </c>
      <c r="K12" s="34">
        <f t="shared" si="0"/>
        <v>0</v>
      </c>
      <c r="L12" s="34">
        <f t="shared" si="1"/>
        <v>2.56</v>
      </c>
      <c r="M12" s="34">
        <f t="shared" si="2"/>
        <v>8.42</v>
      </c>
      <c r="N12" s="32">
        <f>ROUND(Loading!N12,2)</f>
        <v>624</v>
      </c>
      <c r="O12" s="32">
        <f>Loading!O12</f>
        <v>189.99999999999997</v>
      </c>
    </row>
    <row r="13" spans="2:15">
      <c r="B13" s="32">
        <f t="shared" si="3"/>
        <v>11</v>
      </c>
      <c r="C13" s="32">
        <f>Loading!B13</f>
        <v>39595272</v>
      </c>
      <c r="D13" s="32">
        <f>Loading!E13</f>
        <v>1</v>
      </c>
      <c r="E13" s="32">
        <f>Loading!F13</f>
        <v>5551</v>
      </c>
      <c r="F13" s="32">
        <f>Loading!J13</f>
        <v>80</v>
      </c>
      <c r="G13" s="32">
        <f>Loading!K13</f>
        <v>20</v>
      </c>
      <c r="H13" s="32">
        <f>Loading!P13</f>
        <v>4</v>
      </c>
      <c r="I13" s="35">
        <f t="shared" si="4"/>
        <v>69</v>
      </c>
      <c r="J13" s="34" t="str">
        <f>Loading!C13</f>
        <v>54-82-08087-008G</v>
      </c>
      <c r="K13" s="34">
        <f t="shared" si="0"/>
        <v>3</v>
      </c>
      <c r="L13" s="34">
        <f t="shared" si="1"/>
        <v>1.82</v>
      </c>
      <c r="M13" s="34">
        <f t="shared" si="2"/>
        <v>5.33</v>
      </c>
      <c r="N13" s="32">
        <f>ROUND(Loading!N13,2)</f>
        <v>877.5</v>
      </c>
      <c r="O13" s="32">
        <f>Loading!O13</f>
        <v>300</v>
      </c>
    </row>
    <row r="14" spans="2:15">
      <c r="B14" s="32">
        <f t="shared" si="3"/>
        <v>12</v>
      </c>
      <c r="C14" s="32">
        <f>Loading!B14</f>
        <v>39563264</v>
      </c>
      <c r="D14" s="32">
        <f>Loading!E14</f>
        <v>1</v>
      </c>
      <c r="E14" s="32">
        <f>Loading!F14</f>
        <v>44174</v>
      </c>
      <c r="F14" s="32">
        <f>Loading!J14</f>
        <v>80</v>
      </c>
      <c r="G14" s="32">
        <f>Loading!K14</f>
        <v>20</v>
      </c>
      <c r="H14" s="32">
        <f>Loading!P14</f>
        <v>4</v>
      </c>
      <c r="I14" s="35">
        <f t="shared" si="4"/>
        <v>552</v>
      </c>
      <c r="J14" s="34" t="str">
        <f>Loading!C14</f>
        <v>54-82-08087-008G</v>
      </c>
      <c r="K14" s="34">
        <f t="shared" si="0"/>
        <v>28</v>
      </c>
      <c r="L14" s="34">
        <f t="shared" si="1"/>
        <v>1.82</v>
      </c>
      <c r="M14" s="34">
        <f t="shared" si="2"/>
        <v>5.33</v>
      </c>
      <c r="N14" s="32">
        <f>ROUND(Loading!N14,2)</f>
        <v>877.5</v>
      </c>
      <c r="O14" s="32">
        <f>Loading!O14</f>
        <v>300</v>
      </c>
    </row>
    <row r="15" spans="2:15">
      <c r="B15" s="32">
        <f t="shared" si="3"/>
        <v>13</v>
      </c>
      <c r="C15" s="32">
        <f>Loading!B15</f>
        <v>39569474</v>
      </c>
      <c r="D15" s="32">
        <f>Loading!E15</f>
        <v>2</v>
      </c>
      <c r="E15" s="32">
        <f>Loading!F15</f>
        <v>4557</v>
      </c>
      <c r="F15" s="32">
        <f>Loading!J15</f>
        <v>80</v>
      </c>
      <c r="G15" s="32">
        <f>Loading!K15</f>
        <v>20</v>
      </c>
      <c r="H15" s="32">
        <f>Loading!P15</f>
        <v>4</v>
      </c>
      <c r="I15" s="35">
        <f t="shared" si="4"/>
        <v>57</v>
      </c>
      <c r="J15" s="34" t="str">
        <f>Loading!C15</f>
        <v>54-82-08206-016G</v>
      </c>
      <c r="K15" s="34">
        <f t="shared" si="0"/>
        <v>3</v>
      </c>
      <c r="L15" s="34">
        <f t="shared" si="1"/>
        <v>2.56</v>
      </c>
      <c r="M15" s="34">
        <f t="shared" si="2"/>
        <v>8.42</v>
      </c>
      <c r="N15" s="32">
        <f>ROUND(Loading!N15,2)</f>
        <v>624</v>
      </c>
      <c r="O15" s="32">
        <f>Loading!O15</f>
        <v>189.99999999999997</v>
      </c>
    </row>
    <row r="16" spans="2:15">
      <c r="B16" s="32">
        <f t="shared" si="3"/>
        <v>14</v>
      </c>
      <c r="C16" s="32">
        <f>Loading!B16</f>
        <v>39561050</v>
      </c>
      <c r="D16" s="32">
        <f>Loading!E16</f>
        <v>2</v>
      </c>
      <c r="E16" s="32">
        <f>Loading!F16</f>
        <v>1471</v>
      </c>
      <c r="F16" s="32">
        <f>Loading!J16</f>
        <v>80</v>
      </c>
      <c r="G16" s="32">
        <f>Loading!K16</f>
        <v>20</v>
      </c>
      <c r="H16" s="32">
        <f>Loading!P16</f>
        <v>4</v>
      </c>
      <c r="I16" s="35">
        <f t="shared" si="4"/>
        <v>18</v>
      </c>
      <c r="J16" s="34" t="str">
        <f>Loading!C16</f>
        <v>54-82-08206-016G</v>
      </c>
      <c r="K16" s="34">
        <f t="shared" si="0"/>
        <v>1</v>
      </c>
      <c r="L16" s="34">
        <f t="shared" si="1"/>
        <v>2.56</v>
      </c>
      <c r="M16" s="34">
        <f t="shared" si="2"/>
        <v>8.42</v>
      </c>
      <c r="N16" s="32">
        <f>ROUND(Loading!N16,2)</f>
        <v>624</v>
      </c>
      <c r="O16" s="32">
        <f>Loading!O16</f>
        <v>189.99999999999997</v>
      </c>
    </row>
    <row r="17" spans="2:15">
      <c r="B17" s="32">
        <f t="shared" si="3"/>
        <v>15</v>
      </c>
      <c r="C17" s="32">
        <f>Loading!B17</f>
        <v>39566658</v>
      </c>
      <c r="D17" s="32">
        <f>Loading!E17</f>
        <v>1</v>
      </c>
      <c r="E17" s="32">
        <f>Loading!F17</f>
        <v>117023</v>
      </c>
      <c r="F17" s="32">
        <f>Loading!J17</f>
        <v>80</v>
      </c>
      <c r="G17" s="32">
        <f>Loading!K17</f>
        <v>20</v>
      </c>
      <c r="H17" s="32">
        <f>Loading!P17</f>
        <v>4</v>
      </c>
      <c r="I17" s="35">
        <f t="shared" si="4"/>
        <v>1463</v>
      </c>
      <c r="J17" s="34" t="str">
        <f>Loading!C17</f>
        <v>54-82-08141-008G</v>
      </c>
      <c r="K17" s="34">
        <f t="shared" si="0"/>
        <v>73</v>
      </c>
      <c r="L17" s="34">
        <f t="shared" si="1"/>
        <v>1.82</v>
      </c>
      <c r="M17" s="34">
        <f t="shared" si="2"/>
        <v>5.33</v>
      </c>
      <c r="N17" s="32">
        <f>ROUND(Loading!N17,2)</f>
        <v>877.5</v>
      </c>
      <c r="O17" s="32">
        <f>Loading!O17</f>
        <v>300</v>
      </c>
    </row>
    <row r="18" spans="2:15">
      <c r="B18" s="32">
        <f t="shared" si="3"/>
        <v>16</v>
      </c>
      <c r="C18" s="32">
        <f>Loading!B18</f>
        <v>39567074</v>
      </c>
      <c r="D18" s="32">
        <f>Loading!E18</f>
        <v>1</v>
      </c>
      <c r="E18" s="32">
        <f>Loading!F18</f>
        <v>47843</v>
      </c>
      <c r="F18" s="32">
        <f>Loading!J18</f>
        <v>80</v>
      </c>
      <c r="G18" s="32">
        <f>Loading!K18</f>
        <v>20</v>
      </c>
      <c r="H18" s="32">
        <f>Loading!P18</f>
        <v>4</v>
      </c>
      <c r="I18" s="35">
        <f t="shared" si="4"/>
        <v>598</v>
      </c>
      <c r="J18" s="34" t="str">
        <f>Loading!C18</f>
        <v>54-82-08301-008G</v>
      </c>
      <c r="K18" s="34">
        <f t="shared" si="0"/>
        <v>30</v>
      </c>
      <c r="L18" s="34">
        <f t="shared" si="1"/>
        <v>1.82</v>
      </c>
      <c r="M18" s="34">
        <f t="shared" si="2"/>
        <v>5.33</v>
      </c>
      <c r="N18" s="32">
        <f>ROUND(Loading!N18,2)</f>
        <v>877.5</v>
      </c>
      <c r="O18" s="32">
        <f>Loading!O18</f>
        <v>300</v>
      </c>
    </row>
    <row r="19" spans="2:15">
      <c r="B19" s="32">
        <f t="shared" si="3"/>
        <v>17</v>
      </c>
      <c r="C19" s="32">
        <f>Loading!B19</f>
        <v>39595271</v>
      </c>
      <c r="D19" s="32">
        <f>Loading!E19</f>
        <v>1</v>
      </c>
      <c r="E19" s="32">
        <f>Loading!F19</f>
        <v>105051</v>
      </c>
      <c r="F19" s="32">
        <f>Loading!J19</f>
        <v>80</v>
      </c>
      <c r="G19" s="32">
        <f>Loading!K19</f>
        <v>20</v>
      </c>
      <c r="H19" s="32">
        <f>Loading!P19</f>
        <v>4</v>
      </c>
      <c r="I19" s="35">
        <f t="shared" si="4"/>
        <v>1313</v>
      </c>
      <c r="J19" s="34" t="str">
        <f>Loading!C19</f>
        <v>54-82-08301-008G</v>
      </c>
      <c r="K19" s="34">
        <f t="shared" si="0"/>
        <v>66</v>
      </c>
      <c r="L19" s="34">
        <f t="shared" si="1"/>
        <v>1.82</v>
      </c>
      <c r="M19" s="34">
        <f t="shared" si="2"/>
        <v>5.33</v>
      </c>
      <c r="N19" s="32">
        <f>ROUND(Loading!N19,2)</f>
        <v>877.5</v>
      </c>
      <c r="O19" s="32">
        <f>Loading!O19</f>
        <v>300</v>
      </c>
    </row>
    <row r="20" spans="2:15">
      <c r="B20" s="32">
        <f t="shared" si="3"/>
        <v>18</v>
      </c>
      <c r="C20" s="32">
        <f>Loading!B20</f>
        <v>39565177</v>
      </c>
      <c r="D20" s="32">
        <f>Loading!E20</f>
        <v>1</v>
      </c>
      <c r="E20" s="32">
        <f>Loading!F20</f>
        <v>7658</v>
      </c>
      <c r="F20" s="32">
        <f>Loading!J20</f>
        <v>80</v>
      </c>
      <c r="G20" s="32">
        <f>Loading!K20</f>
        <v>20</v>
      </c>
      <c r="H20" s="32">
        <f>Loading!P20</f>
        <v>4</v>
      </c>
      <c r="I20" s="35">
        <f t="shared" si="4"/>
        <v>96</v>
      </c>
      <c r="J20" s="34" t="str">
        <f>Loading!C20</f>
        <v>54-82-08301-008G</v>
      </c>
      <c r="K20" s="34">
        <f t="shared" si="0"/>
        <v>5</v>
      </c>
      <c r="L20" s="34">
        <f t="shared" si="1"/>
        <v>1.82</v>
      </c>
      <c r="M20" s="34">
        <f t="shared" si="2"/>
        <v>5.33</v>
      </c>
      <c r="N20" s="32">
        <f>ROUND(Loading!N20,2)</f>
        <v>877.5</v>
      </c>
      <c r="O20" s="32">
        <f>Loading!O20</f>
        <v>300</v>
      </c>
    </row>
    <row r="21" spans="2:15">
      <c r="B21" s="32">
        <f t="shared" si="3"/>
        <v>19</v>
      </c>
      <c r="C21" s="32">
        <f>Loading!B21</f>
        <v>39555434</v>
      </c>
      <c r="D21" s="32">
        <f>Loading!E21</f>
        <v>1</v>
      </c>
      <c r="E21" s="32">
        <f>Loading!F21</f>
        <v>48143</v>
      </c>
      <c r="F21" s="32">
        <f>Loading!J21</f>
        <v>80</v>
      </c>
      <c r="G21" s="32">
        <f>Loading!K21</f>
        <v>20</v>
      </c>
      <c r="H21" s="32">
        <f>Loading!P21</f>
        <v>4</v>
      </c>
      <c r="I21" s="35">
        <f t="shared" si="4"/>
        <v>602</v>
      </c>
      <c r="J21" s="34" t="str">
        <f>Loading!C21</f>
        <v>54-82-08301-008G</v>
      </c>
      <c r="K21" s="34">
        <f t="shared" si="0"/>
        <v>30</v>
      </c>
      <c r="L21" s="34">
        <f t="shared" si="1"/>
        <v>1.82</v>
      </c>
      <c r="M21" s="34">
        <f t="shared" si="2"/>
        <v>5.33</v>
      </c>
      <c r="N21" s="32">
        <f>ROUND(Loading!N21,2)</f>
        <v>877.5</v>
      </c>
      <c r="O21" s="32">
        <f>Loading!O21</f>
        <v>300</v>
      </c>
    </row>
    <row r="22" spans="2:15">
      <c r="B22" s="32">
        <f t="shared" si="3"/>
        <v>20</v>
      </c>
      <c r="C22" s="32">
        <f>Loading!B22</f>
        <v>39560115</v>
      </c>
      <c r="D22" s="32">
        <f>Loading!E22</f>
        <v>2</v>
      </c>
      <c r="E22" s="32">
        <f>Loading!F22</f>
        <v>750</v>
      </c>
      <c r="F22" s="32">
        <f>Loading!J22</f>
        <v>80</v>
      </c>
      <c r="G22" s="32">
        <f>Loading!K22</f>
        <v>20</v>
      </c>
      <c r="H22" s="32">
        <f>Loading!P22</f>
        <v>4</v>
      </c>
      <c r="I22" s="35">
        <f t="shared" si="4"/>
        <v>9</v>
      </c>
      <c r="J22" s="34" t="str">
        <f>Loading!C22</f>
        <v>54-82-08301-016G</v>
      </c>
      <c r="K22" s="34">
        <f t="shared" si="0"/>
        <v>0</v>
      </c>
      <c r="L22" s="34">
        <f t="shared" si="1"/>
        <v>2.56</v>
      </c>
      <c r="M22" s="34">
        <f t="shared" si="2"/>
        <v>8.42</v>
      </c>
      <c r="N22" s="32">
        <f>ROUND(Loading!N22,2)</f>
        <v>624</v>
      </c>
      <c r="O22" s="32">
        <f>Loading!O22</f>
        <v>189.99999999999997</v>
      </c>
    </row>
    <row r="23" spans="2:15">
      <c r="B23" s="32">
        <f t="shared" si="3"/>
        <v>21</v>
      </c>
      <c r="C23" s="32">
        <f>Loading!B23</f>
        <v>39569317</v>
      </c>
      <c r="D23" s="32">
        <f>Loading!E23</f>
        <v>2</v>
      </c>
      <c r="E23" s="32">
        <f>Loading!F23</f>
        <v>95178</v>
      </c>
      <c r="F23" s="32">
        <f>Loading!J23</f>
        <v>80</v>
      </c>
      <c r="G23" s="32">
        <f>Loading!K23</f>
        <v>20</v>
      </c>
      <c r="H23" s="32">
        <f>Loading!P23</f>
        <v>4</v>
      </c>
      <c r="I23" s="35">
        <f t="shared" si="4"/>
        <v>1190</v>
      </c>
      <c r="J23" s="34" t="str">
        <f>Loading!C23</f>
        <v>54-82-08301-016G</v>
      </c>
      <c r="K23" s="34">
        <f t="shared" si="0"/>
        <v>60</v>
      </c>
      <c r="L23" s="34">
        <f t="shared" si="1"/>
        <v>2.56</v>
      </c>
      <c r="M23" s="34">
        <f t="shared" si="2"/>
        <v>8.42</v>
      </c>
      <c r="N23" s="32">
        <f>ROUND(Loading!N23,2)</f>
        <v>624</v>
      </c>
      <c r="O23" s="32">
        <f>Loading!O23</f>
        <v>189.99999999999997</v>
      </c>
    </row>
    <row r="24" spans="2:15">
      <c r="B24" s="32">
        <f t="shared" si="3"/>
        <v>22</v>
      </c>
      <c r="C24" s="32">
        <f>Loading!B24</f>
        <v>39558072</v>
      </c>
      <c r="D24" s="32">
        <f>Loading!E24</f>
        <v>1</v>
      </c>
      <c r="E24" s="32">
        <f>Loading!F24</f>
        <v>35511</v>
      </c>
      <c r="F24" s="32">
        <f>Loading!J24</f>
        <v>80</v>
      </c>
      <c r="G24" s="32">
        <f>Loading!K24</f>
        <v>20</v>
      </c>
      <c r="H24" s="32">
        <f>Loading!P24</f>
        <v>4</v>
      </c>
      <c r="I24" s="35">
        <f t="shared" si="4"/>
        <v>444</v>
      </c>
      <c r="J24" s="34" t="str">
        <f>Loading!C24</f>
        <v>54-82-08166-004G</v>
      </c>
      <c r="K24" s="34">
        <f t="shared" si="0"/>
        <v>22</v>
      </c>
      <c r="L24" s="34">
        <f t="shared" si="1"/>
        <v>1.69</v>
      </c>
      <c r="M24" s="34">
        <f t="shared" si="2"/>
        <v>4.4400000000000004</v>
      </c>
      <c r="N24" s="32">
        <f>ROUND(Loading!N24,2)</f>
        <v>944.19</v>
      </c>
      <c r="O24" s="32">
        <f>Loading!O24</f>
        <v>360</v>
      </c>
    </row>
    <row r="25" spans="2:15">
      <c r="B25" s="32">
        <f t="shared" si="3"/>
        <v>23</v>
      </c>
      <c r="C25" s="32">
        <f>Loading!B25</f>
        <v>39558055</v>
      </c>
      <c r="D25" s="32">
        <f>Loading!E25</f>
        <v>1</v>
      </c>
      <c r="E25" s="32">
        <f>Loading!F25</f>
        <v>371815</v>
      </c>
      <c r="F25" s="32">
        <f>Loading!J25</f>
        <v>80</v>
      </c>
      <c r="G25" s="32">
        <f>Loading!K25</f>
        <v>20</v>
      </c>
      <c r="H25" s="32">
        <f>Loading!P25</f>
        <v>4</v>
      </c>
      <c r="I25" s="35">
        <f t="shared" si="4"/>
        <v>4648</v>
      </c>
      <c r="J25" s="34" t="str">
        <f>Loading!C25</f>
        <v>54-82-08166-004G</v>
      </c>
      <c r="K25" s="34">
        <f t="shared" si="0"/>
        <v>232</v>
      </c>
      <c r="L25" s="34">
        <f t="shared" si="1"/>
        <v>1.69</v>
      </c>
      <c r="M25" s="34">
        <f t="shared" si="2"/>
        <v>4.4400000000000004</v>
      </c>
      <c r="N25" s="32">
        <f>ROUND(Loading!N25,2)</f>
        <v>944.19</v>
      </c>
      <c r="O25" s="32">
        <f>Loading!O25</f>
        <v>360</v>
      </c>
    </row>
    <row r="26" spans="2:15">
      <c r="B26" s="32">
        <f t="shared" si="3"/>
        <v>24</v>
      </c>
      <c r="C26" s="32">
        <f>Loading!B26</f>
        <v>39560857</v>
      </c>
      <c r="D26" s="32">
        <f>Loading!E26</f>
        <v>1</v>
      </c>
      <c r="E26" s="32">
        <f>Loading!F26</f>
        <v>234905</v>
      </c>
      <c r="F26" s="32">
        <f>Loading!J26</f>
        <v>80</v>
      </c>
      <c r="G26" s="32">
        <f>Loading!K26</f>
        <v>20</v>
      </c>
      <c r="H26" s="32">
        <f>Loading!P26</f>
        <v>4</v>
      </c>
      <c r="I26" s="35">
        <f t="shared" si="4"/>
        <v>2936</v>
      </c>
      <c r="J26" s="34" t="str">
        <f>Loading!C26</f>
        <v>54-82-08166-004G</v>
      </c>
      <c r="K26" s="34">
        <f t="shared" si="0"/>
        <v>147</v>
      </c>
      <c r="L26" s="34">
        <f t="shared" si="1"/>
        <v>1.69</v>
      </c>
      <c r="M26" s="34">
        <f t="shared" si="2"/>
        <v>4.4400000000000004</v>
      </c>
      <c r="N26" s="32">
        <f>ROUND(Loading!N26,2)</f>
        <v>944.19</v>
      </c>
      <c r="O26" s="32">
        <f>Loading!O26</f>
        <v>360</v>
      </c>
    </row>
    <row r="27" spans="2:15">
      <c r="B27" s="32">
        <f t="shared" si="3"/>
        <v>25</v>
      </c>
      <c r="C27" s="32">
        <f>Loading!B27</f>
        <v>39563025</v>
      </c>
      <c r="D27" s="32">
        <f>Loading!E27</f>
        <v>1</v>
      </c>
      <c r="E27" s="32">
        <f>Loading!F27</f>
        <v>20644</v>
      </c>
      <c r="F27" s="32">
        <f>Loading!J27</f>
        <v>80</v>
      </c>
      <c r="G27" s="32">
        <f>Loading!K27</f>
        <v>20</v>
      </c>
      <c r="H27" s="32">
        <f>Loading!P27</f>
        <v>4</v>
      </c>
      <c r="I27" s="35">
        <f t="shared" si="4"/>
        <v>258</v>
      </c>
      <c r="J27" s="34" t="str">
        <f>Loading!C27</f>
        <v>54-82-08166-004G</v>
      </c>
      <c r="K27" s="34">
        <f t="shared" si="0"/>
        <v>13</v>
      </c>
      <c r="L27" s="34">
        <f t="shared" si="1"/>
        <v>1.69</v>
      </c>
      <c r="M27" s="34">
        <f t="shared" si="2"/>
        <v>4.4400000000000004</v>
      </c>
      <c r="N27" s="32">
        <f>ROUND(Loading!N27,2)</f>
        <v>944.19</v>
      </c>
      <c r="O27" s="32">
        <f>Loading!O27</f>
        <v>360</v>
      </c>
    </row>
    <row r="28" spans="2:15">
      <c r="B28" s="32">
        <f t="shared" si="3"/>
        <v>26</v>
      </c>
      <c r="C28" s="32">
        <f>Loading!B28</f>
        <v>39567055</v>
      </c>
      <c r="D28" s="32">
        <f>Loading!E28</f>
        <v>1</v>
      </c>
      <c r="E28" s="32">
        <f>Loading!F28</f>
        <v>77335</v>
      </c>
      <c r="F28" s="32">
        <f>Loading!J28</f>
        <v>80</v>
      </c>
      <c r="G28" s="32">
        <f>Loading!K28</f>
        <v>20</v>
      </c>
      <c r="H28" s="32">
        <f>Loading!P28</f>
        <v>4</v>
      </c>
      <c r="I28" s="35">
        <f t="shared" si="4"/>
        <v>967</v>
      </c>
      <c r="J28" s="34" t="str">
        <f>Loading!C28</f>
        <v>54-82-08166-004G</v>
      </c>
      <c r="K28" s="34">
        <f t="shared" si="0"/>
        <v>48</v>
      </c>
      <c r="L28" s="34">
        <f t="shared" si="1"/>
        <v>1.69</v>
      </c>
      <c r="M28" s="34">
        <f t="shared" si="2"/>
        <v>4.4400000000000004</v>
      </c>
      <c r="N28" s="32">
        <f>ROUND(Loading!N28,2)</f>
        <v>944.19</v>
      </c>
      <c r="O28" s="32">
        <f>Loading!O28</f>
        <v>360</v>
      </c>
    </row>
    <row r="29" spans="2:15">
      <c r="B29" s="32">
        <f t="shared" si="3"/>
        <v>27</v>
      </c>
      <c r="C29" s="32">
        <f>Loading!B29</f>
        <v>39762319</v>
      </c>
      <c r="D29" s="32">
        <f>Loading!E29</f>
        <v>1</v>
      </c>
      <c r="E29" s="32">
        <f>Loading!F29</f>
        <v>100010</v>
      </c>
      <c r="F29" s="32">
        <f>Loading!J29</f>
        <v>80</v>
      </c>
      <c r="G29" s="32">
        <f>Loading!K29</f>
        <v>20</v>
      </c>
      <c r="H29" s="32">
        <f>Loading!P29</f>
        <v>4</v>
      </c>
      <c r="I29" s="35">
        <f t="shared" si="4"/>
        <v>1250</v>
      </c>
      <c r="J29" s="34" t="str">
        <f>Loading!C29</f>
        <v>54-82-08178-004G</v>
      </c>
      <c r="K29" s="34">
        <f t="shared" si="0"/>
        <v>63</v>
      </c>
      <c r="L29" s="34">
        <f t="shared" si="1"/>
        <v>1.69</v>
      </c>
      <c r="M29" s="34">
        <f t="shared" si="2"/>
        <v>4.4400000000000004</v>
      </c>
      <c r="N29" s="32">
        <f>ROUND(Loading!N29,2)</f>
        <v>944.19</v>
      </c>
      <c r="O29" s="32">
        <f>Loading!O29</f>
        <v>360</v>
      </c>
    </row>
    <row r="30" spans="2:15">
      <c r="B30" s="32">
        <f t="shared" si="3"/>
        <v>28</v>
      </c>
      <c r="C30" s="32">
        <f>Loading!B30</f>
        <v>39567749</v>
      </c>
      <c r="D30" s="32">
        <f>Loading!E30</f>
        <v>1</v>
      </c>
      <c r="E30" s="32">
        <f>Loading!F30</f>
        <v>20000</v>
      </c>
      <c r="F30" s="32">
        <f>Loading!J30</f>
        <v>80</v>
      </c>
      <c r="G30" s="32">
        <f>Loading!K30</f>
        <v>20</v>
      </c>
      <c r="H30" s="32">
        <f>Loading!P30</f>
        <v>4</v>
      </c>
      <c r="I30" s="35">
        <f t="shared" si="4"/>
        <v>250</v>
      </c>
      <c r="J30" s="34" t="str">
        <f>Loading!C30</f>
        <v>54-82-08254-004G</v>
      </c>
      <c r="K30" s="34">
        <f t="shared" si="0"/>
        <v>13</v>
      </c>
      <c r="L30" s="34">
        <f t="shared" si="1"/>
        <v>1.69</v>
      </c>
      <c r="M30" s="34">
        <f t="shared" si="2"/>
        <v>5.33</v>
      </c>
      <c r="N30" s="32">
        <f>ROUND(Loading!N30,2)</f>
        <v>944</v>
      </c>
      <c r="O30" s="32">
        <f>Loading!O30</f>
        <v>300</v>
      </c>
    </row>
    <row r="31" spans="2:15">
      <c r="B31" s="32">
        <f t="shared" si="3"/>
        <v>29</v>
      </c>
      <c r="C31" s="32">
        <f>Loading!B31</f>
        <v>39569147</v>
      </c>
      <c r="D31" s="32">
        <f>Loading!E31</f>
        <v>1</v>
      </c>
      <c r="E31" s="32">
        <f>Loading!F31</f>
        <v>371727</v>
      </c>
      <c r="F31" s="32">
        <f>Loading!J31</f>
        <v>80</v>
      </c>
      <c r="G31" s="32">
        <f>Loading!K31</f>
        <v>20</v>
      </c>
      <c r="H31" s="32">
        <f>Loading!P31</f>
        <v>4</v>
      </c>
      <c r="I31" s="35">
        <f t="shared" si="4"/>
        <v>4647</v>
      </c>
      <c r="J31" s="34" t="str">
        <f>Loading!C31</f>
        <v>54-82-08104-004G</v>
      </c>
      <c r="K31" s="34">
        <f t="shared" si="0"/>
        <v>232</v>
      </c>
      <c r="L31" s="34">
        <f t="shared" si="1"/>
        <v>1.69</v>
      </c>
      <c r="M31" s="34">
        <f t="shared" si="2"/>
        <v>4.4400000000000004</v>
      </c>
      <c r="N31" s="32">
        <f>ROUND(Loading!N31,2)</f>
        <v>944.19</v>
      </c>
      <c r="O31" s="32">
        <f>Loading!O31</f>
        <v>360</v>
      </c>
    </row>
    <row r="32" spans="2:15">
      <c r="B32" s="32">
        <f t="shared" si="3"/>
        <v>30</v>
      </c>
      <c r="C32" s="32">
        <f>Loading!B32</f>
        <v>39756647</v>
      </c>
      <c r="D32" s="32">
        <f>Loading!E32</f>
        <v>1</v>
      </c>
      <c r="E32" s="32">
        <f>Loading!F32</f>
        <v>139708</v>
      </c>
      <c r="F32" s="32">
        <f>Loading!J32</f>
        <v>80</v>
      </c>
      <c r="G32" s="32">
        <f>Loading!K32</f>
        <v>20</v>
      </c>
      <c r="H32" s="32">
        <f>Loading!P32</f>
        <v>4</v>
      </c>
      <c r="I32" s="35">
        <f t="shared" si="4"/>
        <v>1746</v>
      </c>
      <c r="J32" s="34" t="str">
        <f>Loading!C32</f>
        <v>54-82-08104-004G</v>
      </c>
      <c r="K32" s="34">
        <f t="shared" si="0"/>
        <v>87</v>
      </c>
      <c r="L32" s="34">
        <f t="shared" si="1"/>
        <v>1.69</v>
      </c>
      <c r="M32" s="34">
        <f t="shared" si="2"/>
        <v>4.4400000000000004</v>
      </c>
      <c r="N32" s="32">
        <f>ROUND(Loading!N32,2)</f>
        <v>944.19</v>
      </c>
      <c r="O32" s="32">
        <f>Loading!O32</f>
        <v>360</v>
      </c>
    </row>
    <row r="33" spans="2:15">
      <c r="B33" s="32">
        <f t="shared" si="3"/>
        <v>31</v>
      </c>
      <c r="C33" s="32">
        <f>Loading!B33</f>
        <v>39566996</v>
      </c>
      <c r="D33" s="32">
        <f>Loading!E33</f>
        <v>1</v>
      </c>
      <c r="E33" s="32">
        <f>Loading!F33</f>
        <v>505100</v>
      </c>
      <c r="F33" s="32">
        <f>Loading!J33</f>
        <v>80</v>
      </c>
      <c r="G33" s="32">
        <f>Loading!K33</f>
        <v>20</v>
      </c>
      <c r="H33" s="32">
        <f>Loading!P33</f>
        <v>4</v>
      </c>
      <c r="I33" s="35">
        <f t="shared" si="4"/>
        <v>6314</v>
      </c>
      <c r="J33" s="34" t="str">
        <f>Loading!C33</f>
        <v>54-82-08104-004G</v>
      </c>
      <c r="K33" s="34">
        <f t="shared" si="0"/>
        <v>316</v>
      </c>
      <c r="L33" s="34">
        <f t="shared" si="1"/>
        <v>1.69</v>
      </c>
      <c r="M33" s="34">
        <f t="shared" si="2"/>
        <v>4.4400000000000004</v>
      </c>
      <c r="N33" s="32">
        <f>ROUND(Loading!N33,2)</f>
        <v>944.19</v>
      </c>
      <c r="O33" s="32">
        <f>Loading!O33</f>
        <v>360</v>
      </c>
    </row>
    <row r="34" spans="2:15">
      <c r="B34" s="32">
        <f t="shared" si="3"/>
        <v>32</v>
      </c>
      <c r="C34" s="32">
        <f>Loading!B34</f>
        <v>39567165</v>
      </c>
      <c r="D34" s="32">
        <f>Loading!E34</f>
        <v>1</v>
      </c>
      <c r="E34" s="32">
        <f>Loading!F34</f>
        <v>132989</v>
      </c>
      <c r="F34" s="32">
        <f>Loading!J34</f>
        <v>80</v>
      </c>
      <c r="G34" s="32">
        <f>Loading!K34</f>
        <v>20</v>
      </c>
      <c r="H34" s="32">
        <f>Loading!P34</f>
        <v>4</v>
      </c>
      <c r="I34" s="35">
        <f t="shared" si="4"/>
        <v>1662</v>
      </c>
      <c r="J34" s="34" t="str">
        <f>Loading!C34</f>
        <v>54-82-08104-004G</v>
      </c>
      <c r="K34" s="34">
        <f t="shared" si="0"/>
        <v>83</v>
      </c>
      <c r="L34" s="34">
        <f t="shared" si="1"/>
        <v>1.69</v>
      </c>
      <c r="M34" s="34">
        <f t="shared" si="2"/>
        <v>4.4400000000000004</v>
      </c>
      <c r="N34" s="32">
        <f>ROUND(Loading!N34,2)</f>
        <v>944.19</v>
      </c>
      <c r="O34" s="32">
        <f>Loading!O34</f>
        <v>360</v>
      </c>
    </row>
    <row r="35" spans="2:15">
      <c r="B35" s="32">
        <f t="shared" si="3"/>
        <v>33</v>
      </c>
      <c r="C35" s="32">
        <f>Loading!B35</f>
        <v>39595269</v>
      </c>
      <c r="D35" s="32">
        <f>Loading!E35</f>
        <v>1</v>
      </c>
      <c r="E35" s="32">
        <f>Loading!F35</f>
        <v>20202</v>
      </c>
      <c r="F35" s="32">
        <f>Loading!J35</f>
        <v>80</v>
      </c>
      <c r="G35" s="32">
        <f>Loading!K35</f>
        <v>20</v>
      </c>
      <c r="H35" s="32">
        <f>Loading!P35</f>
        <v>4</v>
      </c>
      <c r="I35" s="35">
        <f t="shared" si="4"/>
        <v>253</v>
      </c>
      <c r="J35" s="34" t="str">
        <f>Loading!C35</f>
        <v>54-82-08191-004G</v>
      </c>
      <c r="K35" s="34">
        <f t="shared" ref="K35:K66" si="5">ROUND(I35/G35,0)</f>
        <v>13</v>
      </c>
      <c r="L35" s="34">
        <f t="shared" ref="L35:L66" si="6">ROUND(F35*G35/N35,2)</f>
        <v>1.69</v>
      </c>
      <c r="M35" s="34">
        <f t="shared" ref="M35:M66" si="7">ROUND(F35*G35/O35,2)</f>
        <v>4.4400000000000004</v>
      </c>
      <c r="N35" s="32">
        <f>ROUND(Loading!N35,2)</f>
        <v>944.19</v>
      </c>
      <c r="O35" s="32">
        <f>Loading!O35</f>
        <v>360</v>
      </c>
    </row>
    <row r="36" spans="2:15">
      <c r="B36" s="32">
        <f t="shared" si="3"/>
        <v>34</v>
      </c>
      <c r="C36" s="32">
        <f>Loading!B36</f>
        <v>39562476</v>
      </c>
      <c r="D36" s="32">
        <f>Loading!E36</f>
        <v>2</v>
      </c>
      <c r="E36" s="32">
        <f>Loading!F36</f>
        <v>10000</v>
      </c>
      <c r="F36" s="32">
        <f>Loading!J36</f>
        <v>80</v>
      </c>
      <c r="G36" s="32">
        <f>Loading!K36</f>
        <v>20</v>
      </c>
      <c r="H36" s="32">
        <f>Loading!P36</f>
        <v>4</v>
      </c>
      <c r="I36" s="35">
        <f t="shared" si="4"/>
        <v>125</v>
      </c>
      <c r="J36" s="34" t="str">
        <f>Loading!C36</f>
        <v>54-82-08650-008G</v>
      </c>
      <c r="K36" s="34">
        <f t="shared" si="5"/>
        <v>6</v>
      </c>
      <c r="L36" s="34">
        <f t="shared" si="6"/>
        <v>2.48</v>
      </c>
      <c r="M36" s="34">
        <f t="shared" si="7"/>
        <v>10.67</v>
      </c>
      <c r="N36" s="32">
        <f>ROUND(Loading!N36,2)</f>
        <v>646.15</v>
      </c>
      <c r="O36" s="32">
        <f>Loading!O36</f>
        <v>150</v>
      </c>
    </row>
    <row r="37" spans="2:15">
      <c r="B37" s="32">
        <f t="shared" si="3"/>
        <v>35</v>
      </c>
      <c r="C37" s="32">
        <f>Loading!B37</f>
        <v>39555445</v>
      </c>
      <c r="D37" s="32">
        <f>Loading!E37</f>
        <v>2</v>
      </c>
      <c r="E37" s="32">
        <f>Loading!F37</f>
        <v>3320</v>
      </c>
      <c r="F37" s="32">
        <f>Loading!J37</f>
        <v>40</v>
      </c>
      <c r="G37" s="32">
        <f>Loading!K37</f>
        <v>20</v>
      </c>
      <c r="H37" s="32">
        <f>Loading!P37</f>
        <v>4</v>
      </c>
      <c r="I37" s="35">
        <f t="shared" si="4"/>
        <v>83</v>
      </c>
      <c r="J37" s="34" t="str">
        <f>Loading!C37</f>
        <v>54-82-05049-008G</v>
      </c>
      <c r="K37" s="34">
        <f t="shared" si="5"/>
        <v>4</v>
      </c>
      <c r="L37" s="34">
        <f t="shared" si="6"/>
        <v>1.17</v>
      </c>
      <c r="M37" s="34">
        <f t="shared" si="7"/>
        <v>10.67</v>
      </c>
      <c r="N37" s="32">
        <f>ROUND(Loading!N37,2)</f>
        <v>682.05</v>
      </c>
      <c r="O37" s="32">
        <f>Loading!O37</f>
        <v>75</v>
      </c>
    </row>
    <row r="38" spans="2:15">
      <c r="B38" s="32">
        <f t="shared" si="3"/>
        <v>36</v>
      </c>
      <c r="C38" s="32">
        <f>Loading!B38</f>
        <v>39569477</v>
      </c>
      <c r="D38" s="32">
        <f>Loading!E38</f>
        <v>4</v>
      </c>
      <c r="E38" s="32">
        <f>Loading!F38</f>
        <v>50000</v>
      </c>
      <c r="F38" s="32">
        <f>Loading!J38</f>
        <v>48</v>
      </c>
      <c r="G38" s="32">
        <f>Loading!K38</f>
        <v>10</v>
      </c>
      <c r="H38" s="32">
        <f>Loading!P38</f>
        <v>2</v>
      </c>
      <c r="I38" s="35">
        <f t="shared" si="4"/>
        <v>1042</v>
      </c>
      <c r="J38" s="34" t="str">
        <f>Loading!C38</f>
        <v>54-82-05056-032G</v>
      </c>
      <c r="K38" s="34">
        <f t="shared" si="5"/>
        <v>104</v>
      </c>
      <c r="L38" s="34">
        <f t="shared" si="6"/>
        <v>2.1800000000000002</v>
      </c>
      <c r="M38" s="34">
        <f t="shared" si="7"/>
        <v>6</v>
      </c>
      <c r="N38" s="32">
        <f>ROUND(Loading!N38,2)</f>
        <v>220</v>
      </c>
      <c r="O38" s="32">
        <f>Loading!O38</f>
        <v>80</v>
      </c>
    </row>
    <row r="39" spans="2:15">
      <c r="B39" s="32">
        <f t="shared" si="3"/>
        <v>37</v>
      </c>
      <c r="C39" s="32">
        <f>Loading!B39</f>
        <v>39564506</v>
      </c>
      <c r="D39" s="32">
        <f>Loading!E39</f>
        <v>8</v>
      </c>
      <c r="E39" s="32">
        <f>Loading!F39</f>
        <v>45000</v>
      </c>
      <c r="F39" s="32">
        <f>Loading!J39</f>
        <v>48</v>
      </c>
      <c r="G39" s="32">
        <f>Loading!K39</f>
        <v>10</v>
      </c>
      <c r="H39" s="32">
        <f>Loading!P39</f>
        <v>1</v>
      </c>
      <c r="I39" s="35">
        <f t="shared" si="4"/>
        <v>938</v>
      </c>
      <c r="J39" s="34" t="str">
        <f>Loading!C39</f>
        <v>54-82-05056-064G</v>
      </c>
      <c r="K39" s="34">
        <f t="shared" si="5"/>
        <v>94</v>
      </c>
      <c r="L39" s="34">
        <f t="shared" si="6"/>
        <v>5.33</v>
      </c>
      <c r="M39" s="34">
        <f t="shared" si="7"/>
        <v>13.71</v>
      </c>
      <c r="N39" s="32">
        <f>ROUND(Loading!N39,2)</f>
        <v>90</v>
      </c>
      <c r="O39" s="32">
        <f>Loading!O39</f>
        <v>35</v>
      </c>
    </row>
    <row r="40" spans="2:15">
      <c r="B40" s="32">
        <f t="shared" si="3"/>
        <v>38</v>
      </c>
      <c r="C40" s="32">
        <f>Loading!B40</f>
        <v>39558090</v>
      </c>
      <c r="D40" s="32">
        <f>Loading!E40</f>
        <v>4</v>
      </c>
      <c r="E40" s="32">
        <f>Loading!F40</f>
        <v>2400</v>
      </c>
      <c r="F40" s="32">
        <f>Loading!J40</f>
        <v>48</v>
      </c>
      <c r="G40" s="32">
        <f>Loading!K40</f>
        <v>10</v>
      </c>
      <c r="H40" s="32">
        <f>Loading!P40</f>
        <v>2</v>
      </c>
      <c r="I40" s="35">
        <f t="shared" ref="I40:I71" si="8">ROUND(E40/F40,0)</f>
        <v>50</v>
      </c>
      <c r="J40" s="34" t="str">
        <f>Loading!C40</f>
        <v>54-82-05070-016G</v>
      </c>
      <c r="K40" s="34">
        <f t="shared" si="5"/>
        <v>5</v>
      </c>
      <c r="L40" s="34">
        <f t="shared" si="6"/>
        <v>2.1800000000000002</v>
      </c>
      <c r="M40" s="34">
        <f t="shared" si="7"/>
        <v>3</v>
      </c>
      <c r="N40" s="32">
        <f>ROUND(Loading!N40,2)</f>
        <v>220</v>
      </c>
      <c r="O40" s="32">
        <f>Loading!O40</f>
        <v>160</v>
      </c>
    </row>
    <row r="41" spans="2:15">
      <c r="B41" s="32">
        <f t="shared" si="3"/>
        <v>39</v>
      </c>
      <c r="C41" s="32">
        <f>Loading!B41</f>
        <v>39564402</v>
      </c>
      <c r="D41" s="32">
        <f>Loading!E41</f>
        <v>2</v>
      </c>
      <c r="E41" s="32">
        <f>Loading!F41</f>
        <v>5000</v>
      </c>
      <c r="F41" s="32">
        <f>Loading!J41</f>
        <v>48</v>
      </c>
      <c r="G41" s="32">
        <f>Loading!K41</f>
        <v>20</v>
      </c>
      <c r="H41" s="32">
        <f>Loading!P41</f>
        <v>4</v>
      </c>
      <c r="I41" s="35">
        <f t="shared" si="8"/>
        <v>104</v>
      </c>
      <c r="J41" s="34" t="str">
        <f>Loading!C41</f>
        <v>54-82-05081-016G</v>
      </c>
      <c r="K41" s="34">
        <f t="shared" si="5"/>
        <v>5</v>
      </c>
      <c r="L41" s="34">
        <f t="shared" si="6"/>
        <v>0.8</v>
      </c>
      <c r="M41" s="34">
        <f t="shared" si="7"/>
        <v>6.4</v>
      </c>
      <c r="N41" s="32">
        <f>ROUND(Loading!N41,2)</f>
        <v>1200</v>
      </c>
      <c r="O41" s="32">
        <f>Loading!O41</f>
        <v>150</v>
      </c>
    </row>
    <row r="42" spans="2:15">
      <c r="B42" s="32">
        <f t="shared" si="3"/>
        <v>40</v>
      </c>
      <c r="C42" s="32">
        <f>Loading!B42</f>
        <v>39568485</v>
      </c>
      <c r="D42" s="32">
        <f>Loading!E42</f>
        <v>4</v>
      </c>
      <c r="E42" s="32">
        <f>Loading!F42</f>
        <v>90000</v>
      </c>
      <c r="F42" s="32">
        <f>Loading!J42</f>
        <v>48</v>
      </c>
      <c r="G42" s="32">
        <f>Loading!K42</f>
        <v>10</v>
      </c>
      <c r="H42" s="32">
        <f>Loading!P42</f>
        <v>2</v>
      </c>
      <c r="I42" s="35">
        <f t="shared" si="8"/>
        <v>1875</v>
      </c>
      <c r="J42" s="34" t="str">
        <f>Loading!C42</f>
        <v>54-82-05091-032G</v>
      </c>
      <c r="K42" s="34">
        <f t="shared" si="5"/>
        <v>188</v>
      </c>
      <c r="L42" s="34">
        <f t="shared" si="6"/>
        <v>2.1800000000000002</v>
      </c>
      <c r="M42" s="34">
        <f t="shared" si="7"/>
        <v>3.69</v>
      </c>
      <c r="N42" s="32">
        <f>ROUND(Loading!N42,2)</f>
        <v>220</v>
      </c>
      <c r="O42" s="32">
        <f>Loading!O42</f>
        <v>130</v>
      </c>
    </row>
    <row r="43" spans="2:15">
      <c r="B43" s="32">
        <f t="shared" si="3"/>
        <v>41</v>
      </c>
      <c r="C43" s="32">
        <f>Loading!B43</f>
        <v>39557906</v>
      </c>
      <c r="D43" s="32">
        <f>Loading!E43</f>
        <v>2</v>
      </c>
      <c r="E43" s="32">
        <f>Loading!F43</f>
        <v>550000</v>
      </c>
      <c r="F43" s="32">
        <f>Loading!J43</f>
        <v>48</v>
      </c>
      <c r="G43" s="32">
        <f>Loading!K43</f>
        <v>20</v>
      </c>
      <c r="H43" s="32">
        <f>Loading!P43</f>
        <v>4</v>
      </c>
      <c r="I43" s="35">
        <f t="shared" si="8"/>
        <v>11458</v>
      </c>
      <c r="J43" s="34" t="str">
        <f>Loading!C43</f>
        <v>54-82-05102-008G</v>
      </c>
      <c r="K43" s="34">
        <f t="shared" si="5"/>
        <v>573</v>
      </c>
      <c r="L43" s="34">
        <f t="shared" si="6"/>
        <v>0.8</v>
      </c>
      <c r="M43" s="34">
        <f t="shared" si="7"/>
        <v>6.4</v>
      </c>
      <c r="N43" s="32">
        <f>ROUND(Loading!N43,2)</f>
        <v>1200</v>
      </c>
      <c r="O43" s="32">
        <f>Loading!O43</f>
        <v>150</v>
      </c>
    </row>
    <row r="44" spans="2:15">
      <c r="B44" s="32">
        <f t="shared" si="3"/>
        <v>42</v>
      </c>
      <c r="C44" s="32">
        <f>Loading!B44</f>
        <v>39558833</v>
      </c>
      <c r="D44" s="32">
        <f>Loading!E44</f>
        <v>2</v>
      </c>
      <c r="E44" s="32">
        <f>Loading!F44</f>
        <v>400000</v>
      </c>
      <c r="F44" s="32">
        <f>Loading!J44</f>
        <v>48</v>
      </c>
      <c r="G44" s="32">
        <f>Loading!K44</f>
        <v>20</v>
      </c>
      <c r="H44" s="32">
        <f>Loading!P44</f>
        <v>4</v>
      </c>
      <c r="I44" s="35">
        <f t="shared" si="8"/>
        <v>8333</v>
      </c>
      <c r="J44" s="34" t="str">
        <f>Loading!C44</f>
        <v>54-82-05105-016G</v>
      </c>
      <c r="K44" s="34">
        <f t="shared" si="5"/>
        <v>417</v>
      </c>
      <c r="L44" s="34">
        <f t="shared" si="6"/>
        <v>0.8</v>
      </c>
      <c r="M44" s="34">
        <f t="shared" si="7"/>
        <v>4.17</v>
      </c>
      <c r="N44" s="32">
        <f>ROUND(Loading!N44,2)</f>
        <v>1200</v>
      </c>
      <c r="O44" s="32">
        <f>Loading!O44</f>
        <v>230</v>
      </c>
    </row>
    <row r="45" spans="2:15">
      <c r="B45" s="32">
        <f t="shared" si="3"/>
        <v>43</v>
      </c>
      <c r="C45" s="32">
        <f>Loading!B45</f>
        <v>39767524</v>
      </c>
      <c r="D45" s="32">
        <f>Loading!E45</f>
        <v>1</v>
      </c>
      <c r="E45" s="32">
        <f>Loading!F45</f>
        <v>42244</v>
      </c>
      <c r="F45" s="32">
        <f>Loading!J45</f>
        <v>72</v>
      </c>
      <c r="G45" s="32">
        <f>Loading!K45</f>
        <v>20</v>
      </c>
      <c r="H45" s="32">
        <f>Loading!P45</f>
        <v>4</v>
      </c>
      <c r="I45" s="35">
        <f t="shared" si="8"/>
        <v>587</v>
      </c>
      <c r="J45" s="34" t="str">
        <f>Loading!C45</f>
        <v>54-82-06145-004G</v>
      </c>
      <c r="K45" s="34">
        <f t="shared" si="5"/>
        <v>29</v>
      </c>
      <c r="L45" s="34">
        <f t="shared" si="6"/>
        <v>1.53</v>
      </c>
      <c r="M45" s="34">
        <f t="shared" si="7"/>
        <v>6.7</v>
      </c>
      <c r="N45" s="32">
        <f>ROUND(Loading!N45,2)</f>
        <v>944.19</v>
      </c>
      <c r="O45" s="32">
        <f>Loading!O45</f>
        <v>215</v>
      </c>
    </row>
    <row r="46" spans="2:15">
      <c r="B46" s="32">
        <f t="shared" si="3"/>
        <v>44</v>
      </c>
      <c r="C46" s="32">
        <f>Loading!B46</f>
        <v>39568476</v>
      </c>
      <c r="D46" s="32">
        <f>Loading!E46</f>
        <v>1</v>
      </c>
      <c r="E46" s="32">
        <f>Loading!F46</f>
        <v>7597</v>
      </c>
      <c r="F46" s="32">
        <f>Loading!J46</f>
        <v>72</v>
      </c>
      <c r="G46" s="32">
        <f>Loading!K46</f>
        <v>20</v>
      </c>
      <c r="H46" s="32">
        <f>Loading!P46</f>
        <v>4</v>
      </c>
      <c r="I46" s="35">
        <f t="shared" si="8"/>
        <v>106</v>
      </c>
      <c r="J46" s="34" t="str">
        <f>Loading!C46</f>
        <v>54-82-06145-004G</v>
      </c>
      <c r="K46" s="34">
        <f t="shared" si="5"/>
        <v>5</v>
      </c>
      <c r="L46" s="34">
        <f t="shared" si="6"/>
        <v>1.53</v>
      </c>
      <c r="M46" s="34">
        <f t="shared" si="7"/>
        <v>6.7</v>
      </c>
      <c r="N46" s="32">
        <f>ROUND(Loading!N46,2)</f>
        <v>944.19</v>
      </c>
      <c r="O46" s="32">
        <f>Loading!O46</f>
        <v>215</v>
      </c>
    </row>
    <row r="47" spans="2:15">
      <c r="B47" s="32">
        <f t="shared" si="3"/>
        <v>45</v>
      </c>
      <c r="C47" s="32">
        <f>Loading!B47</f>
        <v>39566775</v>
      </c>
      <c r="D47" s="32">
        <f>Loading!E47</f>
        <v>1</v>
      </c>
      <c r="E47" s="32">
        <f>Loading!F47</f>
        <v>75165</v>
      </c>
      <c r="F47" s="32">
        <f>Loading!J47</f>
        <v>72</v>
      </c>
      <c r="G47" s="32">
        <f>Loading!K47</f>
        <v>20</v>
      </c>
      <c r="H47" s="32">
        <f>Loading!P47</f>
        <v>4</v>
      </c>
      <c r="I47" s="35">
        <f t="shared" si="8"/>
        <v>1044</v>
      </c>
      <c r="J47" s="34" t="str">
        <f>Loading!C47</f>
        <v>54-82-06145-004G</v>
      </c>
      <c r="K47" s="34">
        <f t="shared" si="5"/>
        <v>52</v>
      </c>
      <c r="L47" s="34">
        <f t="shared" si="6"/>
        <v>1.53</v>
      </c>
      <c r="M47" s="34">
        <f t="shared" si="7"/>
        <v>6.7</v>
      </c>
      <c r="N47" s="32">
        <f>ROUND(Loading!N47,2)</f>
        <v>944.19</v>
      </c>
      <c r="O47" s="32">
        <f>Loading!O47</f>
        <v>215</v>
      </c>
    </row>
    <row r="48" spans="2:15">
      <c r="B48" s="32">
        <f t="shared" si="3"/>
        <v>46</v>
      </c>
      <c r="C48" s="32">
        <f>Loading!B48</f>
        <v>39595260</v>
      </c>
      <c r="D48" s="32">
        <f>Loading!E48</f>
        <v>4</v>
      </c>
      <c r="E48" s="32">
        <f>Loading!F48</f>
        <v>35109</v>
      </c>
      <c r="F48" s="32">
        <f>Loading!J48</f>
        <v>72</v>
      </c>
      <c r="G48" s="32">
        <f>Loading!K48</f>
        <v>10</v>
      </c>
      <c r="H48" s="32">
        <f>Loading!P48</f>
        <v>2</v>
      </c>
      <c r="I48" s="35">
        <f t="shared" si="8"/>
        <v>488</v>
      </c>
      <c r="J48" s="34" t="str">
        <f>Loading!C48</f>
        <v>54-82-06145-016G</v>
      </c>
      <c r="K48" s="34">
        <f t="shared" si="5"/>
        <v>49</v>
      </c>
      <c r="L48" s="34">
        <f t="shared" si="6"/>
        <v>3.79</v>
      </c>
      <c r="M48" s="34">
        <f t="shared" si="7"/>
        <v>8.4700000000000006</v>
      </c>
      <c r="N48" s="32">
        <f>ROUND(Loading!N48,2)</f>
        <v>190.12</v>
      </c>
      <c r="O48" s="32">
        <f>Loading!O48</f>
        <v>85</v>
      </c>
    </row>
    <row r="49" spans="2:15">
      <c r="B49" s="32">
        <f t="shared" si="3"/>
        <v>47</v>
      </c>
      <c r="C49" s="32">
        <f>Loading!B49</f>
        <v>39767526</v>
      </c>
      <c r="D49" s="32">
        <f>Loading!E49</f>
        <v>4</v>
      </c>
      <c r="E49" s="32">
        <f>Loading!F49</f>
        <v>8954</v>
      </c>
      <c r="F49" s="32">
        <f>Loading!J49</f>
        <v>72</v>
      </c>
      <c r="G49" s="32">
        <f>Loading!K49</f>
        <v>10</v>
      </c>
      <c r="H49" s="32">
        <f>Loading!P49</f>
        <v>2</v>
      </c>
      <c r="I49" s="35">
        <f t="shared" si="8"/>
        <v>124</v>
      </c>
      <c r="J49" s="34" t="str">
        <f>Loading!C49</f>
        <v>54-82-06145-016G</v>
      </c>
      <c r="K49" s="34">
        <f t="shared" si="5"/>
        <v>12</v>
      </c>
      <c r="L49" s="34">
        <f t="shared" si="6"/>
        <v>3.79</v>
      </c>
      <c r="M49" s="34">
        <f t="shared" si="7"/>
        <v>8.4700000000000006</v>
      </c>
      <c r="N49" s="32">
        <f>ROUND(Loading!N49,2)</f>
        <v>190.12</v>
      </c>
      <c r="O49" s="32">
        <f>Loading!O49</f>
        <v>85</v>
      </c>
    </row>
    <row r="50" spans="2:15">
      <c r="B50" s="32">
        <f t="shared" si="3"/>
        <v>48</v>
      </c>
      <c r="C50" s="32">
        <f>Loading!B50</f>
        <v>39762322</v>
      </c>
      <c r="D50" s="32">
        <f>Loading!E50</f>
        <v>1</v>
      </c>
      <c r="E50" s="32">
        <f>Loading!F50</f>
        <v>30000</v>
      </c>
      <c r="F50" s="32">
        <f>Loading!J50</f>
        <v>80</v>
      </c>
      <c r="G50" s="32">
        <f>Loading!K50</f>
        <v>20</v>
      </c>
      <c r="H50" s="32">
        <f>Loading!P50</f>
        <v>4</v>
      </c>
      <c r="I50" s="35">
        <f t="shared" si="8"/>
        <v>375</v>
      </c>
      <c r="J50" s="34" t="str">
        <f>Loading!C50</f>
        <v>54-82-06175-002G</v>
      </c>
      <c r="K50" s="34">
        <f t="shared" si="5"/>
        <v>19</v>
      </c>
      <c r="L50" s="34">
        <f t="shared" si="6"/>
        <v>1.69</v>
      </c>
      <c r="M50" s="34">
        <f t="shared" si="7"/>
        <v>5.16</v>
      </c>
      <c r="N50" s="32">
        <f>ROUND(Loading!N50,2)</f>
        <v>944.19</v>
      </c>
      <c r="O50" s="32">
        <f>Loading!O50</f>
        <v>310</v>
      </c>
    </row>
    <row r="51" spans="2:15">
      <c r="B51" s="32">
        <f t="shared" si="3"/>
        <v>49</v>
      </c>
      <c r="C51" s="32">
        <f>Loading!B51</f>
        <v>39597246</v>
      </c>
      <c r="D51" s="32">
        <f>Loading!E51</f>
        <v>1</v>
      </c>
      <c r="E51" s="32">
        <f>Loading!F51</f>
        <v>20515</v>
      </c>
      <c r="F51" s="32">
        <f>Loading!J51</f>
        <v>72</v>
      </c>
      <c r="G51" s="32">
        <f>Loading!K51</f>
        <v>20</v>
      </c>
      <c r="H51" s="32">
        <f>Loading!P51</f>
        <v>4</v>
      </c>
      <c r="I51" s="35">
        <f t="shared" si="8"/>
        <v>285</v>
      </c>
      <c r="J51" s="34" t="str">
        <f>Loading!C51</f>
        <v>54-82-06184-004G</v>
      </c>
      <c r="K51" s="34">
        <f t="shared" si="5"/>
        <v>14</v>
      </c>
      <c r="L51" s="34">
        <f t="shared" si="6"/>
        <v>1.6</v>
      </c>
      <c r="M51" s="34">
        <f t="shared" si="7"/>
        <v>7.2</v>
      </c>
      <c r="N51" s="32">
        <f>ROUND(Loading!N51,2)</f>
        <v>897.62</v>
      </c>
      <c r="O51" s="32">
        <f>Loading!O51</f>
        <v>200</v>
      </c>
    </row>
    <row r="52" spans="2:15">
      <c r="B52" s="32">
        <f t="shared" si="3"/>
        <v>50</v>
      </c>
      <c r="C52" s="32">
        <f>Loading!B52</f>
        <v>39595257</v>
      </c>
      <c r="D52" s="32">
        <f>Loading!E52</f>
        <v>1</v>
      </c>
      <c r="E52" s="32">
        <f>Loading!F52</f>
        <v>30924</v>
      </c>
      <c r="F52" s="32">
        <f>Loading!J52</f>
        <v>80</v>
      </c>
      <c r="G52" s="32">
        <f>Loading!K52</f>
        <v>20</v>
      </c>
      <c r="H52" s="32">
        <f>Loading!P52</f>
        <v>4</v>
      </c>
      <c r="I52" s="35">
        <f t="shared" si="8"/>
        <v>387</v>
      </c>
      <c r="J52" s="34" t="str">
        <f>Loading!C52</f>
        <v>54-82-06201-004G</v>
      </c>
      <c r="K52" s="34">
        <f t="shared" si="5"/>
        <v>19</v>
      </c>
      <c r="L52" s="34">
        <f t="shared" si="6"/>
        <v>1.69</v>
      </c>
      <c r="M52" s="34">
        <f t="shared" si="7"/>
        <v>5.16</v>
      </c>
      <c r="N52" s="32">
        <f>ROUND(Loading!N52,2)</f>
        <v>944.19</v>
      </c>
      <c r="O52" s="32">
        <f>Loading!O52</f>
        <v>310</v>
      </c>
    </row>
    <row r="53" spans="2:15">
      <c r="B53" s="32">
        <f t="shared" si="3"/>
        <v>51</v>
      </c>
      <c r="C53" s="32">
        <f>Loading!B53</f>
        <v>39762320</v>
      </c>
      <c r="D53" s="32">
        <f>Loading!E53</f>
        <v>1</v>
      </c>
      <c r="E53" s="32">
        <f>Loading!F53</f>
        <v>11535</v>
      </c>
      <c r="F53" s="32">
        <f>Loading!J53</f>
        <v>80</v>
      </c>
      <c r="G53" s="32">
        <f>Loading!K53</f>
        <v>20</v>
      </c>
      <c r="H53" s="32">
        <f>Loading!P53</f>
        <v>4</v>
      </c>
      <c r="I53" s="35">
        <f t="shared" si="8"/>
        <v>144</v>
      </c>
      <c r="J53" s="34" t="str">
        <f>Loading!C53</f>
        <v>54-82-06201-004GE</v>
      </c>
      <c r="K53" s="34">
        <f t="shared" si="5"/>
        <v>7</v>
      </c>
      <c r="L53" s="34">
        <f t="shared" si="6"/>
        <v>1.69</v>
      </c>
      <c r="M53" s="34">
        <f t="shared" si="7"/>
        <v>5.16</v>
      </c>
      <c r="N53" s="32">
        <f>ROUND(Loading!N53,2)</f>
        <v>944.19</v>
      </c>
      <c r="O53" s="32">
        <f>Loading!O53</f>
        <v>310</v>
      </c>
    </row>
    <row r="54" spans="2:15">
      <c r="B54" s="32">
        <f t="shared" si="3"/>
        <v>52</v>
      </c>
      <c r="C54" s="32">
        <f>Loading!B54</f>
        <v>39751840</v>
      </c>
      <c r="D54" s="32">
        <f>Loading!E54</f>
        <v>2</v>
      </c>
      <c r="E54" s="32">
        <f>Loading!F54</f>
        <v>2000</v>
      </c>
      <c r="F54" s="32">
        <f>Loading!J54</f>
        <v>72</v>
      </c>
      <c r="G54" s="32">
        <f>Loading!K54</f>
        <v>20</v>
      </c>
      <c r="H54" s="32">
        <f>Loading!P54</f>
        <v>4</v>
      </c>
      <c r="I54" s="35">
        <f t="shared" si="8"/>
        <v>28</v>
      </c>
      <c r="J54" s="34" t="str">
        <f>Loading!C54</f>
        <v>54-82-06413-016GE</v>
      </c>
      <c r="K54" s="34">
        <f t="shared" si="5"/>
        <v>1</v>
      </c>
      <c r="L54" s="34">
        <f t="shared" si="6"/>
        <v>2.19</v>
      </c>
      <c r="M54" s="34">
        <f t="shared" si="7"/>
        <v>8</v>
      </c>
      <c r="N54" s="32">
        <f>ROUND(Loading!N54,2)</f>
        <v>657.41</v>
      </c>
      <c r="O54" s="32">
        <f>Loading!O54</f>
        <v>180</v>
      </c>
    </row>
    <row r="55" spans="2:15">
      <c r="B55" s="32">
        <f t="shared" si="3"/>
        <v>53</v>
      </c>
      <c r="C55" s="32">
        <f>Loading!B55</f>
        <v>39597248</v>
      </c>
      <c r="D55" s="32">
        <f>Loading!E55</f>
        <v>1</v>
      </c>
      <c r="E55" s="32">
        <f>Loading!F55</f>
        <v>269556</v>
      </c>
      <c r="F55" s="32">
        <f>Loading!J55</f>
        <v>80</v>
      </c>
      <c r="G55" s="32">
        <f>Loading!K55</f>
        <v>20</v>
      </c>
      <c r="H55" s="32">
        <f>Loading!P55</f>
        <v>4</v>
      </c>
      <c r="I55" s="35">
        <f t="shared" si="8"/>
        <v>3369</v>
      </c>
      <c r="J55" s="34" t="str">
        <f>Loading!C55</f>
        <v>54-82-06439-002G</v>
      </c>
      <c r="K55" s="34">
        <f t="shared" si="5"/>
        <v>168</v>
      </c>
      <c r="L55" s="34">
        <f t="shared" si="6"/>
        <v>1.69</v>
      </c>
      <c r="M55" s="34">
        <f t="shared" si="7"/>
        <v>5.93</v>
      </c>
      <c r="N55" s="32">
        <f>ROUND(Loading!N55,2)</f>
        <v>944.19</v>
      </c>
      <c r="O55" s="32">
        <f>Loading!O55</f>
        <v>270</v>
      </c>
    </row>
    <row r="56" spans="2:15">
      <c r="B56" s="32">
        <f t="shared" si="3"/>
        <v>54</v>
      </c>
      <c r="C56" s="32">
        <f>Loading!B56</f>
        <v>39568008</v>
      </c>
      <c r="D56" s="32">
        <f>Loading!E56</f>
        <v>1</v>
      </c>
      <c r="E56" s="32">
        <f>Loading!F56</f>
        <v>39130</v>
      </c>
      <c r="F56" s="32">
        <f>Loading!J56</f>
        <v>80</v>
      </c>
      <c r="G56" s="32">
        <f>Loading!K56</f>
        <v>20</v>
      </c>
      <c r="H56" s="32">
        <f>Loading!P56</f>
        <v>4</v>
      </c>
      <c r="I56" s="35">
        <f t="shared" si="8"/>
        <v>489</v>
      </c>
      <c r="J56" s="34" t="str">
        <f>Loading!C56</f>
        <v>54-82-06441-002G</v>
      </c>
      <c r="K56" s="34">
        <f t="shared" si="5"/>
        <v>24</v>
      </c>
      <c r="L56" s="34">
        <f t="shared" si="6"/>
        <v>1.69</v>
      </c>
      <c r="M56" s="34">
        <f t="shared" si="7"/>
        <v>5.33</v>
      </c>
      <c r="N56" s="32">
        <f>ROUND(Loading!N56,2)</f>
        <v>944</v>
      </c>
      <c r="O56" s="32">
        <f>Loading!O56</f>
        <v>300</v>
      </c>
    </row>
    <row r="57" spans="2:15">
      <c r="B57" s="32">
        <f t="shared" si="3"/>
        <v>55</v>
      </c>
      <c r="C57" s="32">
        <f>Loading!B57</f>
        <v>39549861</v>
      </c>
      <c r="D57" s="32">
        <f>Loading!E57</f>
        <v>1</v>
      </c>
      <c r="E57" s="32">
        <f>Loading!F57</f>
        <v>13044</v>
      </c>
      <c r="F57" s="32">
        <f>Loading!J57</f>
        <v>80</v>
      </c>
      <c r="G57" s="32">
        <f>Loading!K57</f>
        <v>20</v>
      </c>
      <c r="H57" s="32">
        <f>Loading!P57</f>
        <v>4</v>
      </c>
      <c r="I57" s="35">
        <f t="shared" si="8"/>
        <v>163</v>
      </c>
      <c r="J57" s="34" t="str">
        <f>Loading!C57</f>
        <v>54-82-06441-002G</v>
      </c>
      <c r="K57" s="34">
        <f t="shared" si="5"/>
        <v>8</v>
      </c>
      <c r="L57" s="34">
        <f t="shared" si="6"/>
        <v>1.69</v>
      </c>
      <c r="M57" s="34">
        <f t="shared" si="7"/>
        <v>5.33</v>
      </c>
      <c r="N57" s="32">
        <f>ROUND(Loading!N57,2)</f>
        <v>944</v>
      </c>
      <c r="O57" s="32">
        <f>Loading!O57</f>
        <v>300</v>
      </c>
    </row>
    <row r="58" spans="2:15">
      <c r="B58" s="32">
        <f t="shared" si="3"/>
        <v>56</v>
      </c>
      <c r="C58" s="32">
        <f>Loading!B58</f>
        <v>39557715</v>
      </c>
      <c r="D58" s="32">
        <f>Loading!E58</f>
        <v>1</v>
      </c>
      <c r="E58" s="32">
        <f>Loading!F58</f>
        <v>26273</v>
      </c>
      <c r="F58" s="32">
        <f>Loading!J58</f>
        <v>72</v>
      </c>
      <c r="G58" s="32">
        <f>Loading!K58</f>
        <v>20</v>
      </c>
      <c r="H58" s="32">
        <f>Loading!P58</f>
        <v>4</v>
      </c>
      <c r="I58" s="35">
        <f t="shared" si="8"/>
        <v>365</v>
      </c>
      <c r="J58" s="34" t="str">
        <f>Loading!C58</f>
        <v>54-82-06476-004G</v>
      </c>
      <c r="K58" s="34">
        <f t="shared" si="5"/>
        <v>18</v>
      </c>
      <c r="L58" s="34">
        <f t="shared" si="6"/>
        <v>1.53</v>
      </c>
      <c r="M58" s="34">
        <f t="shared" si="7"/>
        <v>4.8</v>
      </c>
      <c r="N58" s="32">
        <f>ROUND(Loading!N58,2)</f>
        <v>944</v>
      </c>
      <c r="O58" s="32">
        <f>Loading!O58</f>
        <v>300</v>
      </c>
    </row>
    <row r="59" spans="2:15">
      <c r="B59" s="32">
        <f t="shared" si="3"/>
        <v>57</v>
      </c>
      <c r="C59" s="32">
        <f>Loading!B59</f>
        <v>39566776</v>
      </c>
      <c r="D59" s="32">
        <f>Loading!E59</f>
        <v>1</v>
      </c>
      <c r="E59" s="32">
        <f>Loading!F59</f>
        <v>12976</v>
      </c>
      <c r="F59" s="32">
        <f>Loading!J59</f>
        <v>72</v>
      </c>
      <c r="G59" s="32">
        <f>Loading!K59</f>
        <v>20</v>
      </c>
      <c r="H59" s="32">
        <f>Loading!P59</f>
        <v>4</v>
      </c>
      <c r="I59" s="35">
        <f t="shared" si="8"/>
        <v>180</v>
      </c>
      <c r="J59" s="34" t="str">
        <f>Loading!C59</f>
        <v>54-82-06476-004G</v>
      </c>
      <c r="K59" s="34">
        <f t="shared" si="5"/>
        <v>9</v>
      </c>
      <c r="L59" s="34">
        <f t="shared" si="6"/>
        <v>1.53</v>
      </c>
      <c r="M59" s="34">
        <f t="shared" si="7"/>
        <v>4.8</v>
      </c>
      <c r="N59" s="32">
        <f>ROUND(Loading!N59,2)</f>
        <v>944</v>
      </c>
      <c r="O59" s="32">
        <f>Loading!O59</f>
        <v>300</v>
      </c>
    </row>
    <row r="60" spans="2:15">
      <c r="B60" s="32">
        <f t="shared" si="3"/>
        <v>58</v>
      </c>
      <c r="C60" s="32">
        <f>Loading!B60</f>
        <v>39557303</v>
      </c>
      <c r="D60" s="32">
        <f>Loading!E60</f>
        <v>8</v>
      </c>
      <c r="E60" s="32">
        <f>Loading!F60</f>
        <v>2500</v>
      </c>
      <c r="F60" s="32">
        <f>Loading!J60</f>
        <v>60</v>
      </c>
      <c r="G60" s="32">
        <f>Loading!K60</f>
        <v>10</v>
      </c>
      <c r="H60" s="32">
        <f>Loading!P60</f>
        <v>1</v>
      </c>
      <c r="I60" s="35">
        <f t="shared" si="8"/>
        <v>42</v>
      </c>
      <c r="J60" s="34" t="str">
        <f>Loading!C60</f>
        <v>54-82-07008-032G</v>
      </c>
      <c r="K60" s="34">
        <f t="shared" si="5"/>
        <v>4</v>
      </c>
      <c r="L60" s="34">
        <f t="shared" si="6"/>
        <v>6.67</v>
      </c>
      <c r="M60" s="34">
        <f t="shared" si="7"/>
        <v>10.91</v>
      </c>
      <c r="N60" s="32">
        <f>ROUND(Loading!N60,2)</f>
        <v>90</v>
      </c>
      <c r="O60" s="32">
        <f>Loading!O60</f>
        <v>54.999999999999993</v>
      </c>
    </row>
    <row r="61" spans="2:15">
      <c r="B61" s="32">
        <f t="shared" si="3"/>
        <v>59</v>
      </c>
      <c r="C61" s="32">
        <f>Loading!B61</f>
        <v>39565746</v>
      </c>
      <c r="D61" s="32">
        <f>Loading!E61</f>
        <v>8</v>
      </c>
      <c r="E61" s="32">
        <f>Loading!F61</f>
        <v>2000</v>
      </c>
      <c r="F61" s="32">
        <f>Loading!J61</f>
        <v>48</v>
      </c>
      <c r="G61" s="32">
        <f>Loading!K61</f>
        <v>10</v>
      </c>
      <c r="H61" s="32">
        <f>Loading!P61</f>
        <v>1</v>
      </c>
      <c r="I61" s="35">
        <f t="shared" si="8"/>
        <v>42</v>
      </c>
      <c r="J61" s="34" t="str">
        <f>Loading!C61</f>
        <v>54-82-07028-064G</v>
      </c>
      <c r="K61" s="34">
        <f t="shared" si="5"/>
        <v>4</v>
      </c>
      <c r="L61" s="34">
        <f t="shared" si="6"/>
        <v>5.33</v>
      </c>
      <c r="M61" s="34">
        <f t="shared" si="7"/>
        <v>6</v>
      </c>
      <c r="N61" s="32">
        <f>ROUND(Loading!N61,2)</f>
        <v>90</v>
      </c>
      <c r="O61" s="32">
        <f>Loading!O61</f>
        <v>80</v>
      </c>
    </row>
    <row r="62" spans="2:15">
      <c r="B62" s="32">
        <f t="shared" si="3"/>
        <v>60</v>
      </c>
      <c r="C62" s="32">
        <f>Loading!B62</f>
        <v>39565815</v>
      </c>
      <c r="D62" s="32">
        <f>Loading!E62</f>
        <v>1</v>
      </c>
      <c r="E62" s="32">
        <f>Loading!F62</f>
        <v>15077</v>
      </c>
      <c r="F62" s="32">
        <f>Loading!J62</f>
        <v>72</v>
      </c>
      <c r="G62" s="32">
        <f>Loading!K62</f>
        <v>20</v>
      </c>
      <c r="H62" s="32">
        <f>Loading!P62</f>
        <v>4</v>
      </c>
      <c r="I62" s="35">
        <f t="shared" si="8"/>
        <v>209</v>
      </c>
      <c r="J62" s="34" t="str">
        <f>Loading!C62</f>
        <v>54-82-07350-004G</v>
      </c>
      <c r="K62" s="34">
        <f t="shared" si="5"/>
        <v>10</v>
      </c>
      <c r="L62" s="34">
        <f t="shared" si="6"/>
        <v>1.53</v>
      </c>
      <c r="M62" s="34">
        <f t="shared" si="7"/>
        <v>4.8</v>
      </c>
      <c r="N62" s="32">
        <f>ROUND(Loading!N62,2)</f>
        <v>944</v>
      </c>
      <c r="O62" s="32">
        <f>Loading!O62</f>
        <v>300</v>
      </c>
    </row>
    <row r="63" spans="2:15">
      <c r="B63" s="32">
        <f t="shared" si="3"/>
        <v>61</v>
      </c>
      <c r="C63" s="32">
        <f>Loading!B63</f>
        <v>39569672</v>
      </c>
      <c r="D63" s="32">
        <f>Loading!E63</f>
        <v>4</v>
      </c>
      <c r="E63" s="32">
        <f>Loading!F63</f>
        <v>19715</v>
      </c>
      <c r="F63" s="32">
        <f>Loading!J63</f>
        <v>72</v>
      </c>
      <c r="G63" s="32">
        <f>Loading!K63</f>
        <v>10</v>
      </c>
      <c r="H63" s="32">
        <f>Loading!P63</f>
        <v>2</v>
      </c>
      <c r="I63" s="35">
        <f t="shared" si="8"/>
        <v>274</v>
      </c>
      <c r="J63" s="34" t="str">
        <f>Loading!C63</f>
        <v>54-82-07350-016G</v>
      </c>
      <c r="K63" s="34">
        <f t="shared" si="5"/>
        <v>27</v>
      </c>
      <c r="L63" s="34">
        <f t="shared" si="6"/>
        <v>3.79</v>
      </c>
      <c r="M63" s="34">
        <f t="shared" si="7"/>
        <v>8.4700000000000006</v>
      </c>
      <c r="N63" s="32">
        <f>ROUND(Loading!N63,2)</f>
        <v>190.12</v>
      </c>
      <c r="O63" s="32">
        <f>Loading!O63</f>
        <v>85</v>
      </c>
    </row>
    <row r="64" spans="2:15">
      <c r="B64" s="32">
        <f t="shared" si="3"/>
        <v>62</v>
      </c>
      <c r="C64" s="32">
        <f>Loading!B64</f>
        <v>39563446</v>
      </c>
      <c r="D64" s="32">
        <f>Loading!E64</f>
        <v>4</v>
      </c>
      <c r="E64" s="32">
        <f>Loading!F64</f>
        <v>55185</v>
      </c>
      <c r="F64" s="32">
        <f>Loading!J64</f>
        <v>72</v>
      </c>
      <c r="G64" s="32">
        <f>Loading!K64</f>
        <v>10</v>
      </c>
      <c r="H64" s="32">
        <f>Loading!P64</f>
        <v>2</v>
      </c>
      <c r="I64" s="35">
        <f t="shared" si="8"/>
        <v>766</v>
      </c>
      <c r="J64" s="34" t="str">
        <f>Loading!C64</f>
        <v>54-82-07350-016G</v>
      </c>
      <c r="K64" s="34">
        <f t="shared" si="5"/>
        <v>77</v>
      </c>
      <c r="L64" s="34">
        <f t="shared" si="6"/>
        <v>3.79</v>
      </c>
      <c r="M64" s="34">
        <f t="shared" si="7"/>
        <v>8.4700000000000006</v>
      </c>
      <c r="N64" s="32">
        <f>ROUND(Loading!N64,2)</f>
        <v>190.12</v>
      </c>
      <c r="O64" s="32">
        <f>Loading!O64</f>
        <v>85</v>
      </c>
    </row>
    <row r="65" spans="2:15">
      <c r="B65" s="32">
        <f t="shared" si="3"/>
        <v>63</v>
      </c>
      <c r="C65" s="32">
        <f>Loading!B65</f>
        <v>39549836</v>
      </c>
      <c r="D65" s="32">
        <f>Loading!E65</f>
        <v>1</v>
      </c>
      <c r="E65" s="32">
        <f>Loading!F65</f>
        <v>44471</v>
      </c>
      <c r="F65" s="32">
        <f>Loading!J65</f>
        <v>72</v>
      </c>
      <c r="G65" s="32">
        <f>Loading!K65</f>
        <v>20</v>
      </c>
      <c r="H65" s="32">
        <f>Loading!P65</f>
        <v>4</v>
      </c>
      <c r="I65" s="35">
        <f t="shared" si="8"/>
        <v>618</v>
      </c>
      <c r="J65" s="34" t="str">
        <f>Loading!C65</f>
        <v>54-82-07407-008G</v>
      </c>
      <c r="K65" s="34">
        <f t="shared" si="5"/>
        <v>31</v>
      </c>
      <c r="L65" s="34">
        <f t="shared" si="6"/>
        <v>1.64</v>
      </c>
      <c r="M65" s="34">
        <f t="shared" si="7"/>
        <v>4.8</v>
      </c>
      <c r="N65" s="32">
        <f>ROUND(Loading!N65,2)</f>
        <v>877.5</v>
      </c>
      <c r="O65" s="32">
        <f>Loading!O65</f>
        <v>300</v>
      </c>
    </row>
    <row r="66" spans="2:15">
      <c r="B66" s="32">
        <f t="shared" si="3"/>
        <v>64</v>
      </c>
      <c r="C66" s="32">
        <f>Loading!B66</f>
        <v>39561718</v>
      </c>
      <c r="D66" s="32">
        <f>Loading!E66</f>
        <v>1</v>
      </c>
      <c r="E66" s="32">
        <f>Loading!F66</f>
        <v>26257</v>
      </c>
      <c r="F66" s="32">
        <f>Loading!J66</f>
        <v>72</v>
      </c>
      <c r="G66" s="32">
        <f>Loading!K66</f>
        <v>20</v>
      </c>
      <c r="H66" s="32">
        <f>Loading!P66</f>
        <v>4</v>
      </c>
      <c r="I66" s="35">
        <f t="shared" si="8"/>
        <v>365</v>
      </c>
      <c r="J66" s="34" t="str">
        <f>Loading!C66</f>
        <v>54-82-07407-008G</v>
      </c>
      <c r="K66" s="34">
        <f t="shared" si="5"/>
        <v>18</v>
      </c>
      <c r="L66" s="34">
        <f t="shared" si="6"/>
        <v>1.64</v>
      </c>
      <c r="M66" s="34">
        <f t="shared" si="7"/>
        <v>4.8</v>
      </c>
      <c r="N66" s="32">
        <f>ROUND(Loading!N66,2)</f>
        <v>877.5</v>
      </c>
      <c r="O66" s="32">
        <f>Loading!O66</f>
        <v>300</v>
      </c>
    </row>
    <row r="67" spans="2:15">
      <c r="B67" s="32">
        <f t="shared" si="3"/>
        <v>65</v>
      </c>
      <c r="C67" s="32">
        <f>Loading!B67</f>
        <v>39767525</v>
      </c>
      <c r="D67" s="32">
        <f>Loading!E67</f>
        <v>2</v>
      </c>
      <c r="E67" s="32">
        <f>Loading!F67</f>
        <v>18380</v>
      </c>
      <c r="F67" s="32">
        <f>Loading!J67</f>
        <v>72</v>
      </c>
      <c r="G67" s="32">
        <f>Loading!K67</f>
        <v>20</v>
      </c>
      <c r="H67" s="32">
        <f>Loading!P67</f>
        <v>4</v>
      </c>
      <c r="I67" s="35">
        <f t="shared" si="8"/>
        <v>255</v>
      </c>
      <c r="J67" s="34" t="str">
        <f>Loading!C67</f>
        <v>54-82-07407-016G</v>
      </c>
      <c r="K67" s="34">
        <f t="shared" ref="K67:K98" si="9">ROUND(I67/G67,0)</f>
        <v>13</v>
      </c>
      <c r="L67" s="34">
        <f t="shared" ref="L67:L98" si="10">ROUND(F67*G67/N67,2)</f>
        <v>2.19</v>
      </c>
      <c r="M67" s="34">
        <f t="shared" ref="M67:M98" si="11">ROUND(F67*G67/O67,2)</f>
        <v>8</v>
      </c>
      <c r="N67" s="32">
        <f>ROUND(Loading!N67,2)</f>
        <v>657.41</v>
      </c>
      <c r="O67" s="32">
        <f>Loading!O67</f>
        <v>180</v>
      </c>
    </row>
    <row r="68" spans="2:15">
      <c r="B68" s="32">
        <f t="shared" si="3"/>
        <v>66</v>
      </c>
      <c r="C68" s="32">
        <f>Loading!B68</f>
        <v>39566724</v>
      </c>
      <c r="D68" s="32">
        <f>Loading!E68</f>
        <v>8</v>
      </c>
      <c r="E68" s="32">
        <f>Loading!F68</f>
        <v>3000</v>
      </c>
      <c r="F68" s="32">
        <f>Loading!J68</f>
        <v>66</v>
      </c>
      <c r="G68" s="32">
        <f>Loading!K68</f>
        <v>10</v>
      </c>
      <c r="H68" s="32">
        <f>Loading!P68</f>
        <v>1</v>
      </c>
      <c r="I68" s="35">
        <f t="shared" si="8"/>
        <v>45</v>
      </c>
      <c r="J68" s="34" t="str">
        <f>Loading!C68</f>
        <v>54-82-08211-064G</v>
      </c>
      <c r="K68" s="34">
        <f t="shared" si="9"/>
        <v>5</v>
      </c>
      <c r="L68" s="34">
        <f t="shared" si="10"/>
        <v>7.81</v>
      </c>
      <c r="M68" s="34">
        <f t="shared" si="11"/>
        <v>16.5</v>
      </c>
      <c r="N68" s="32">
        <f>ROUND(Loading!N68,2)</f>
        <v>84.56</v>
      </c>
      <c r="O68" s="32">
        <f>Loading!O68</f>
        <v>40</v>
      </c>
    </row>
    <row r="69" spans="2:15">
      <c r="B69" s="32">
        <f t="shared" ref="B69:B132" si="12">B68+1</f>
        <v>67</v>
      </c>
      <c r="C69" s="32">
        <f>Loading!B69</f>
        <v>39568458</v>
      </c>
      <c r="D69" s="32">
        <f>Loading!E69</f>
        <v>4</v>
      </c>
      <c r="E69" s="32">
        <f>Loading!F69</f>
        <v>4340</v>
      </c>
      <c r="F69" s="32">
        <f>Loading!J69</f>
        <v>48</v>
      </c>
      <c r="G69" s="32">
        <f>Loading!K69</f>
        <v>10</v>
      </c>
      <c r="H69" s="32">
        <f>Loading!P69</f>
        <v>2</v>
      </c>
      <c r="I69" s="35">
        <f t="shared" si="8"/>
        <v>90</v>
      </c>
      <c r="J69" s="34" t="str">
        <f>Loading!C69</f>
        <v>54-82-08547-032G</v>
      </c>
      <c r="K69" s="34">
        <f t="shared" si="9"/>
        <v>9</v>
      </c>
      <c r="L69" s="34">
        <f t="shared" si="10"/>
        <v>1.08</v>
      </c>
      <c r="M69" s="34">
        <f t="shared" si="11"/>
        <v>4.3600000000000003</v>
      </c>
      <c r="N69" s="32">
        <f>ROUND(Loading!N69,2)</f>
        <v>443.9</v>
      </c>
      <c r="O69" s="32">
        <f>Loading!O69</f>
        <v>109.99999999999999</v>
      </c>
    </row>
    <row r="70" spans="2:15">
      <c r="B70" s="32">
        <f t="shared" si="12"/>
        <v>68</v>
      </c>
      <c r="C70" s="32">
        <f>Loading!B70</f>
        <v>39560584</v>
      </c>
      <c r="D70" s="32">
        <f>Loading!E70</f>
        <v>4</v>
      </c>
      <c r="E70" s="32">
        <f>Loading!F70</f>
        <v>1050</v>
      </c>
      <c r="F70" s="32">
        <f>Loading!J70</f>
        <v>48</v>
      </c>
      <c r="G70" s="32">
        <f>Loading!K70</f>
        <v>10</v>
      </c>
      <c r="H70" s="32">
        <f>Loading!P70</f>
        <v>2</v>
      </c>
      <c r="I70" s="35">
        <f t="shared" si="8"/>
        <v>22</v>
      </c>
      <c r="J70" s="34" t="str">
        <f>Loading!C70</f>
        <v>54-82-08547-032G</v>
      </c>
      <c r="K70" s="34">
        <f t="shared" si="9"/>
        <v>2</v>
      </c>
      <c r="L70" s="34">
        <f t="shared" si="10"/>
        <v>1.08</v>
      </c>
      <c r="M70" s="34">
        <f t="shared" si="11"/>
        <v>4.3600000000000003</v>
      </c>
      <c r="N70" s="32">
        <f>ROUND(Loading!N70,2)</f>
        <v>443.9</v>
      </c>
      <c r="O70" s="32">
        <f>Loading!O70</f>
        <v>109.99999999999999</v>
      </c>
    </row>
    <row r="71" spans="2:15">
      <c r="B71" s="32">
        <f t="shared" si="12"/>
        <v>69</v>
      </c>
      <c r="C71" s="32">
        <f>Loading!B71</f>
        <v>39559229</v>
      </c>
      <c r="D71" s="32">
        <f>Loading!E71</f>
        <v>4</v>
      </c>
      <c r="E71" s="32">
        <f>Loading!F71</f>
        <v>1454</v>
      </c>
      <c r="F71" s="32">
        <f>Loading!J71</f>
        <v>48</v>
      </c>
      <c r="G71" s="32">
        <f>Loading!K71</f>
        <v>10</v>
      </c>
      <c r="H71" s="32">
        <f>Loading!P71</f>
        <v>2</v>
      </c>
      <c r="I71" s="35">
        <f t="shared" si="8"/>
        <v>30</v>
      </c>
      <c r="J71" s="34" t="str">
        <f>Loading!C71</f>
        <v>54-82-08547-032G</v>
      </c>
      <c r="K71" s="34">
        <f t="shared" si="9"/>
        <v>3</v>
      </c>
      <c r="L71" s="34">
        <f t="shared" si="10"/>
        <v>1.08</v>
      </c>
      <c r="M71" s="34">
        <f t="shared" si="11"/>
        <v>4.3600000000000003</v>
      </c>
      <c r="N71" s="32">
        <f>ROUND(Loading!N71,2)</f>
        <v>443.9</v>
      </c>
      <c r="O71" s="32">
        <f>Loading!O71</f>
        <v>109.99999999999999</v>
      </c>
    </row>
    <row r="72" spans="2:15">
      <c r="B72" s="32">
        <f t="shared" si="12"/>
        <v>70</v>
      </c>
      <c r="C72" s="32">
        <f>Loading!B72</f>
        <v>39565147</v>
      </c>
      <c r="D72" s="32">
        <f>Loading!E72</f>
        <v>4</v>
      </c>
      <c r="E72" s="32">
        <f>Loading!F72</f>
        <v>9259</v>
      </c>
      <c r="F72" s="32">
        <f>Loading!J72</f>
        <v>48</v>
      </c>
      <c r="G72" s="32">
        <f>Loading!K72</f>
        <v>10</v>
      </c>
      <c r="H72" s="32">
        <f>Loading!P72</f>
        <v>2</v>
      </c>
      <c r="I72" s="35">
        <f t="shared" ref="I72:I103" si="13">ROUND(E72/F72,0)</f>
        <v>193</v>
      </c>
      <c r="J72" s="34" t="str">
        <f>Loading!C72</f>
        <v>54-82-08547-032G</v>
      </c>
      <c r="K72" s="34">
        <f t="shared" si="9"/>
        <v>19</v>
      </c>
      <c r="L72" s="34">
        <f t="shared" si="10"/>
        <v>1.08</v>
      </c>
      <c r="M72" s="34">
        <f t="shared" si="11"/>
        <v>4.3600000000000003</v>
      </c>
      <c r="N72" s="32">
        <f>ROUND(Loading!N72,2)</f>
        <v>443.9</v>
      </c>
      <c r="O72" s="32">
        <f>Loading!O72</f>
        <v>109.99999999999999</v>
      </c>
    </row>
    <row r="73" spans="2:15">
      <c r="B73" s="32">
        <f t="shared" si="12"/>
        <v>71</v>
      </c>
      <c r="C73" s="32">
        <f>Loading!B73</f>
        <v>39568457</v>
      </c>
      <c r="D73" s="32">
        <f>Loading!E73</f>
        <v>4</v>
      </c>
      <c r="E73" s="32">
        <f>Loading!F73</f>
        <v>253</v>
      </c>
      <c r="F73" s="32">
        <f>Loading!J73</f>
        <v>48</v>
      </c>
      <c r="G73" s="32">
        <f>Loading!K73</f>
        <v>10</v>
      </c>
      <c r="H73" s="32">
        <f>Loading!P73</f>
        <v>2</v>
      </c>
      <c r="I73" s="35">
        <f t="shared" si="13"/>
        <v>5</v>
      </c>
      <c r="J73" s="34" t="str">
        <f>Loading!C73</f>
        <v>54-82-08547-032G</v>
      </c>
      <c r="K73" s="34">
        <f t="shared" si="9"/>
        <v>1</v>
      </c>
      <c r="L73" s="34">
        <f t="shared" si="10"/>
        <v>1.08</v>
      </c>
      <c r="M73" s="34">
        <f t="shared" si="11"/>
        <v>4.3600000000000003</v>
      </c>
      <c r="N73" s="32">
        <f>ROUND(Loading!N73,2)</f>
        <v>443.9</v>
      </c>
      <c r="O73" s="32">
        <f>Loading!O73</f>
        <v>109.99999999999999</v>
      </c>
    </row>
    <row r="74" spans="2:15">
      <c r="B74" s="32">
        <f t="shared" si="12"/>
        <v>72</v>
      </c>
      <c r="C74" s="32">
        <f>Loading!B74</f>
        <v>39565146</v>
      </c>
      <c r="D74" s="32">
        <f>Loading!E74</f>
        <v>4</v>
      </c>
      <c r="E74" s="32">
        <f>Loading!F74</f>
        <v>10060</v>
      </c>
      <c r="F74" s="32">
        <f>Loading!J74</f>
        <v>48</v>
      </c>
      <c r="G74" s="32">
        <f>Loading!K74</f>
        <v>10</v>
      </c>
      <c r="H74" s="32">
        <f>Loading!P74</f>
        <v>2</v>
      </c>
      <c r="I74" s="35">
        <f t="shared" si="13"/>
        <v>210</v>
      </c>
      <c r="J74" s="34" t="str">
        <f>Loading!C74</f>
        <v>54-82-08547-032G</v>
      </c>
      <c r="K74" s="34">
        <f t="shared" si="9"/>
        <v>21</v>
      </c>
      <c r="L74" s="34">
        <f t="shared" si="10"/>
        <v>1.08</v>
      </c>
      <c r="M74" s="34">
        <f t="shared" si="11"/>
        <v>4.3600000000000003</v>
      </c>
      <c r="N74" s="32">
        <f>ROUND(Loading!N74,2)</f>
        <v>443.9</v>
      </c>
      <c r="O74" s="32">
        <f>Loading!O74</f>
        <v>109.99999999999999</v>
      </c>
    </row>
    <row r="75" spans="2:15">
      <c r="B75" s="32">
        <f t="shared" si="12"/>
        <v>73</v>
      </c>
      <c r="C75" s="32">
        <f>Loading!B75</f>
        <v>39549842</v>
      </c>
      <c r="D75" s="32">
        <f>Loading!E75</f>
        <v>4</v>
      </c>
      <c r="E75" s="32">
        <f>Loading!F75</f>
        <v>804</v>
      </c>
      <c r="F75" s="32">
        <f>Loading!J75</f>
        <v>48</v>
      </c>
      <c r="G75" s="32">
        <f>Loading!K75</f>
        <v>10</v>
      </c>
      <c r="H75" s="32">
        <f>Loading!P75</f>
        <v>2</v>
      </c>
      <c r="I75" s="35">
        <f t="shared" si="13"/>
        <v>17</v>
      </c>
      <c r="J75" s="34" t="str">
        <f>Loading!C75</f>
        <v>54-82-08706-032G</v>
      </c>
      <c r="K75" s="34">
        <f t="shared" si="9"/>
        <v>2</v>
      </c>
      <c r="L75" s="34">
        <f t="shared" si="10"/>
        <v>1.08</v>
      </c>
      <c r="M75" s="34">
        <f t="shared" si="11"/>
        <v>4.3600000000000003</v>
      </c>
      <c r="N75" s="32">
        <f>ROUND(Loading!N75,2)</f>
        <v>443.9</v>
      </c>
      <c r="O75" s="32">
        <f>Loading!O75</f>
        <v>109.99999999999999</v>
      </c>
    </row>
    <row r="76" spans="2:15">
      <c r="B76" s="32">
        <f t="shared" si="12"/>
        <v>74</v>
      </c>
      <c r="C76" s="32">
        <f>Loading!B76</f>
        <v>39561599</v>
      </c>
      <c r="D76" s="32">
        <f>Loading!E76</f>
        <v>4</v>
      </c>
      <c r="E76" s="32">
        <f>Loading!F76</f>
        <v>8637</v>
      </c>
      <c r="F76" s="32">
        <f>Loading!J76</f>
        <v>48</v>
      </c>
      <c r="G76" s="32">
        <f>Loading!K76</f>
        <v>10</v>
      </c>
      <c r="H76" s="32">
        <f>Loading!P76</f>
        <v>2</v>
      </c>
      <c r="I76" s="35">
        <f t="shared" si="13"/>
        <v>180</v>
      </c>
      <c r="J76" s="34" t="str">
        <f>Loading!C76</f>
        <v>54-82-08706-032G</v>
      </c>
      <c r="K76" s="34">
        <f t="shared" si="9"/>
        <v>18</v>
      </c>
      <c r="L76" s="34">
        <f t="shared" si="10"/>
        <v>1.08</v>
      </c>
      <c r="M76" s="34">
        <f t="shared" si="11"/>
        <v>4.3600000000000003</v>
      </c>
      <c r="N76" s="32">
        <f>ROUND(Loading!N76,2)</f>
        <v>443.9</v>
      </c>
      <c r="O76" s="32">
        <f>Loading!O76</f>
        <v>109.99999999999999</v>
      </c>
    </row>
    <row r="77" spans="2:15">
      <c r="B77" s="32">
        <f t="shared" si="12"/>
        <v>75</v>
      </c>
      <c r="C77" s="32">
        <f>Loading!B77</f>
        <v>39566297</v>
      </c>
      <c r="D77" s="32">
        <f>Loading!E77</f>
        <v>4</v>
      </c>
      <c r="E77" s="32">
        <f>Loading!F77</f>
        <v>3153</v>
      </c>
      <c r="F77" s="32">
        <f>Loading!J77</f>
        <v>48</v>
      </c>
      <c r="G77" s="32">
        <f>Loading!K77</f>
        <v>10</v>
      </c>
      <c r="H77" s="32">
        <f>Loading!P77</f>
        <v>2</v>
      </c>
      <c r="I77" s="35">
        <f t="shared" si="13"/>
        <v>66</v>
      </c>
      <c r="J77" s="34" t="str">
        <f>Loading!C77</f>
        <v>54-82-08706-032G</v>
      </c>
      <c r="K77" s="34">
        <f t="shared" si="9"/>
        <v>7</v>
      </c>
      <c r="L77" s="34">
        <f t="shared" si="10"/>
        <v>1.08</v>
      </c>
      <c r="M77" s="34">
        <f t="shared" si="11"/>
        <v>4.3600000000000003</v>
      </c>
      <c r="N77" s="32">
        <f>ROUND(Loading!N77,2)</f>
        <v>443.9</v>
      </c>
      <c r="O77" s="32">
        <f>Loading!O77</f>
        <v>109.99999999999999</v>
      </c>
    </row>
    <row r="78" spans="2:15">
      <c r="B78" s="32">
        <f t="shared" si="12"/>
        <v>76</v>
      </c>
      <c r="C78" s="32">
        <f>Loading!B78</f>
        <v>39569938</v>
      </c>
      <c r="D78" s="32">
        <f>Loading!E78</f>
        <v>4</v>
      </c>
      <c r="E78" s="32">
        <f>Loading!F78</f>
        <v>2682</v>
      </c>
      <c r="F78" s="32">
        <f>Loading!J78</f>
        <v>48</v>
      </c>
      <c r="G78" s="32">
        <f>Loading!K78</f>
        <v>10</v>
      </c>
      <c r="H78" s="32">
        <f>Loading!P78</f>
        <v>2</v>
      </c>
      <c r="I78" s="35">
        <f t="shared" si="13"/>
        <v>56</v>
      </c>
      <c r="J78" s="34" t="str">
        <f>Loading!C78</f>
        <v>54-82-08706-032G</v>
      </c>
      <c r="K78" s="34">
        <f t="shared" si="9"/>
        <v>6</v>
      </c>
      <c r="L78" s="34">
        <f t="shared" si="10"/>
        <v>1.08</v>
      </c>
      <c r="M78" s="34">
        <f t="shared" si="11"/>
        <v>4.3600000000000003</v>
      </c>
      <c r="N78" s="32">
        <f>ROUND(Loading!N78,2)</f>
        <v>443.9</v>
      </c>
      <c r="O78" s="32">
        <f>Loading!O78</f>
        <v>109.99999999999999</v>
      </c>
    </row>
    <row r="79" spans="2:15">
      <c r="B79" s="32">
        <f t="shared" si="12"/>
        <v>77</v>
      </c>
      <c r="C79" s="32">
        <f>Loading!B79</f>
        <v>39563836</v>
      </c>
      <c r="D79" s="32">
        <f>Loading!E79</f>
        <v>2</v>
      </c>
      <c r="E79" s="32">
        <f>Loading!F79</f>
        <v>11382</v>
      </c>
      <c r="F79" s="32">
        <f>Loading!J79</f>
        <v>48</v>
      </c>
      <c r="G79" s="32">
        <f>Loading!K79</f>
        <v>20</v>
      </c>
      <c r="H79" s="32">
        <f>Loading!P79</f>
        <v>4</v>
      </c>
      <c r="I79" s="35">
        <f t="shared" si="13"/>
        <v>237</v>
      </c>
      <c r="J79" s="34" t="str">
        <f>Loading!C79</f>
        <v>54-82-08707-008G</v>
      </c>
      <c r="K79" s="34">
        <f t="shared" si="9"/>
        <v>12</v>
      </c>
      <c r="L79" s="34">
        <f t="shared" si="10"/>
        <v>1.49</v>
      </c>
      <c r="M79" s="34">
        <f t="shared" si="11"/>
        <v>5.33</v>
      </c>
      <c r="N79" s="32">
        <f>ROUND(Loading!N79,2)</f>
        <v>646.15</v>
      </c>
      <c r="O79" s="32">
        <f>Loading!O79</f>
        <v>180</v>
      </c>
    </row>
    <row r="80" spans="2:15">
      <c r="B80" s="32">
        <f t="shared" si="12"/>
        <v>78</v>
      </c>
      <c r="C80" s="32">
        <f>Loading!B80</f>
        <v>39560730</v>
      </c>
      <c r="D80" s="32">
        <f>Loading!E80</f>
        <v>2</v>
      </c>
      <c r="E80" s="32">
        <f>Loading!F80</f>
        <v>679</v>
      </c>
      <c r="F80" s="32">
        <f>Loading!J80</f>
        <v>48</v>
      </c>
      <c r="G80" s="32">
        <f>Loading!K80</f>
        <v>20</v>
      </c>
      <c r="H80" s="32">
        <f>Loading!P80</f>
        <v>4</v>
      </c>
      <c r="I80" s="35">
        <f t="shared" si="13"/>
        <v>14</v>
      </c>
      <c r="J80" s="34" t="str">
        <f>Loading!C80</f>
        <v>54-82-08707-008G</v>
      </c>
      <c r="K80" s="34">
        <f t="shared" si="9"/>
        <v>1</v>
      </c>
      <c r="L80" s="34">
        <f t="shared" si="10"/>
        <v>1.49</v>
      </c>
      <c r="M80" s="34">
        <f t="shared" si="11"/>
        <v>5.33</v>
      </c>
      <c r="N80" s="32">
        <f>ROUND(Loading!N80,2)</f>
        <v>646.15</v>
      </c>
      <c r="O80" s="32">
        <f>Loading!O80</f>
        <v>180</v>
      </c>
    </row>
    <row r="81" spans="2:15">
      <c r="B81" s="32">
        <f t="shared" si="12"/>
        <v>79</v>
      </c>
      <c r="C81" s="32">
        <f>Loading!B81</f>
        <v>39565028</v>
      </c>
      <c r="D81" s="32">
        <f>Loading!E81</f>
        <v>2</v>
      </c>
      <c r="E81" s="32">
        <f>Loading!F81</f>
        <v>452</v>
      </c>
      <c r="F81" s="32">
        <f>Loading!J81</f>
        <v>48</v>
      </c>
      <c r="G81" s="32">
        <f>Loading!K81</f>
        <v>20</v>
      </c>
      <c r="H81" s="32">
        <f>Loading!P81</f>
        <v>4</v>
      </c>
      <c r="I81" s="35">
        <f t="shared" si="13"/>
        <v>9</v>
      </c>
      <c r="J81" s="34" t="str">
        <f>Loading!C81</f>
        <v>54-82-08707-008G</v>
      </c>
      <c r="K81" s="34">
        <f t="shared" si="9"/>
        <v>0</v>
      </c>
      <c r="L81" s="34">
        <f t="shared" si="10"/>
        <v>1.49</v>
      </c>
      <c r="M81" s="34">
        <f t="shared" si="11"/>
        <v>5.33</v>
      </c>
      <c r="N81" s="32">
        <f>ROUND(Loading!N81,2)</f>
        <v>646.15</v>
      </c>
      <c r="O81" s="32">
        <f>Loading!O81</f>
        <v>180</v>
      </c>
    </row>
    <row r="82" spans="2:15">
      <c r="B82" s="32">
        <f t="shared" si="12"/>
        <v>80</v>
      </c>
      <c r="C82" s="32">
        <f>Loading!B82</f>
        <v>39563837</v>
      </c>
      <c r="D82" s="32">
        <f>Loading!E82</f>
        <v>2</v>
      </c>
      <c r="E82" s="32">
        <f>Loading!F82</f>
        <v>11377</v>
      </c>
      <c r="F82" s="32">
        <f>Loading!J82</f>
        <v>48</v>
      </c>
      <c r="G82" s="32">
        <f>Loading!K82</f>
        <v>20</v>
      </c>
      <c r="H82" s="32">
        <f>Loading!P82</f>
        <v>4</v>
      </c>
      <c r="I82" s="35">
        <f t="shared" si="13"/>
        <v>237</v>
      </c>
      <c r="J82" s="34" t="str">
        <f>Loading!C82</f>
        <v>54-82-08707-008G</v>
      </c>
      <c r="K82" s="34">
        <f t="shared" si="9"/>
        <v>12</v>
      </c>
      <c r="L82" s="34">
        <f t="shared" si="10"/>
        <v>1.49</v>
      </c>
      <c r="M82" s="34">
        <f t="shared" si="11"/>
        <v>5.33</v>
      </c>
      <c r="N82" s="32">
        <f>ROUND(Loading!N82,2)</f>
        <v>646.15</v>
      </c>
      <c r="O82" s="32">
        <f>Loading!O82</f>
        <v>180</v>
      </c>
    </row>
    <row r="83" spans="2:15">
      <c r="B83" s="32">
        <f t="shared" si="12"/>
        <v>81</v>
      </c>
      <c r="C83" s="32">
        <f>Loading!B83</f>
        <v>39563896</v>
      </c>
      <c r="D83" s="32">
        <f>Loading!E83</f>
        <v>8</v>
      </c>
      <c r="E83" s="32">
        <f>Loading!F83</f>
        <v>193</v>
      </c>
      <c r="F83" s="32">
        <f>Loading!J83</f>
        <v>48</v>
      </c>
      <c r="G83" s="32">
        <f>Loading!K83</f>
        <v>10</v>
      </c>
      <c r="H83" s="32">
        <f>Loading!P83</f>
        <v>1</v>
      </c>
      <c r="I83" s="35">
        <f t="shared" si="13"/>
        <v>4</v>
      </c>
      <c r="J83" s="34" t="str">
        <f>Loading!C83</f>
        <v>54-82-08707-032G</v>
      </c>
      <c r="K83" s="34">
        <f t="shared" si="9"/>
        <v>0</v>
      </c>
      <c r="L83" s="34">
        <f t="shared" si="10"/>
        <v>5.68</v>
      </c>
      <c r="M83" s="34">
        <f t="shared" si="11"/>
        <v>8</v>
      </c>
      <c r="N83" s="32">
        <f>ROUND(Loading!N83,2)</f>
        <v>84.56</v>
      </c>
      <c r="O83" s="32">
        <f>Loading!O83</f>
        <v>60</v>
      </c>
    </row>
    <row r="84" spans="2:15">
      <c r="B84" s="32">
        <f t="shared" si="12"/>
        <v>82</v>
      </c>
      <c r="C84" s="32">
        <f>Loading!B84</f>
        <v>39562961</v>
      </c>
      <c r="D84" s="32">
        <f>Loading!E84</f>
        <v>8</v>
      </c>
      <c r="E84" s="32">
        <f>Loading!F84</f>
        <v>9401</v>
      </c>
      <c r="F84" s="32">
        <f>Loading!J84</f>
        <v>48</v>
      </c>
      <c r="G84" s="32">
        <f>Loading!K84</f>
        <v>10</v>
      </c>
      <c r="H84" s="32">
        <f>Loading!P84</f>
        <v>1</v>
      </c>
      <c r="I84" s="35">
        <f t="shared" si="13"/>
        <v>196</v>
      </c>
      <c r="J84" s="34" t="str">
        <f>Loading!C84</f>
        <v>54-82-08707-032G</v>
      </c>
      <c r="K84" s="34">
        <f t="shared" si="9"/>
        <v>20</v>
      </c>
      <c r="L84" s="34">
        <f t="shared" si="10"/>
        <v>5.68</v>
      </c>
      <c r="M84" s="34">
        <f t="shared" si="11"/>
        <v>8</v>
      </c>
      <c r="N84" s="32">
        <f>ROUND(Loading!N84,2)</f>
        <v>84.56</v>
      </c>
      <c r="O84" s="32">
        <f>Loading!O84</f>
        <v>60</v>
      </c>
    </row>
    <row r="85" spans="2:15">
      <c r="B85" s="32">
        <f t="shared" si="12"/>
        <v>83</v>
      </c>
      <c r="C85" s="32">
        <f>Loading!B85</f>
        <v>39568261</v>
      </c>
      <c r="D85" s="32">
        <f>Loading!E85</f>
        <v>1</v>
      </c>
      <c r="E85" s="32">
        <f>Loading!F85</f>
        <v>1600</v>
      </c>
      <c r="F85" s="32">
        <f>Loading!J85</f>
        <v>88</v>
      </c>
      <c r="G85" s="32">
        <f>Loading!K85</f>
        <v>20</v>
      </c>
      <c r="H85" s="32">
        <f>Loading!P85</f>
        <v>4</v>
      </c>
      <c r="I85" s="35">
        <f t="shared" si="13"/>
        <v>18</v>
      </c>
      <c r="J85" s="34" t="str">
        <f>Loading!C85</f>
        <v>54-82-04547-002G</v>
      </c>
      <c r="K85" s="34">
        <f t="shared" si="9"/>
        <v>1</v>
      </c>
      <c r="L85" s="34">
        <f t="shared" si="10"/>
        <v>1.86</v>
      </c>
      <c r="M85" s="34">
        <f t="shared" si="11"/>
        <v>5.87</v>
      </c>
      <c r="N85" s="32">
        <f>ROUND(Loading!N85,2)</f>
        <v>944.19</v>
      </c>
      <c r="O85" s="32">
        <f>Loading!O85</f>
        <v>300</v>
      </c>
    </row>
    <row r="86" spans="2:15">
      <c r="B86" s="32">
        <f t="shared" si="12"/>
        <v>84</v>
      </c>
      <c r="C86" s="32">
        <f>Loading!B86</f>
        <v>39566545</v>
      </c>
      <c r="D86" s="32">
        <f>Loading!E86</f>
        <v>1</v>
      </c>
      <c r="E86" s="32">
        <f>Loading!F86</f>
        <v>3294</v>
      </c>
      <c r="F86" s="32">
        <f>Loading!J86</f>
        <v>88</v>
      </c>
      <c r="G86" s="32">
        <f>Loading!K86</f>
        <v>20</v>
      </c>
      <c r="H86" s="32">
        <f>Loading!P86</f>
        <v>4</v>
      </c>
      <c r="I86" s="35">
        <f t="shared" si="13"/>
        <v>37</v>
      </c>
      <c r="J86" s="34" t="str">
        <f>Loading!C86</f>
        <v>54-82-04547-002G</v>
      </c>
      <c r="K86" s="34">
        <f t="shared" si="9"/>
        <v>2</v>
      </c>
      <c r="L86" s="34">
        <f t="shared" si="10"/>
        <v>1.86</v>
      </c>
      <c r="M86" s="34">
        <f t="shared" si="11"/>
        <v>5.87</v>
      </c>
      <c r="N86" s="32">
        <f>ROUND(Loading!N86,2)</f>
        <v>944.19</v>
      </c>
      <c r="O86" s="32">
        <f>Loading!O86</f>
        <v>300</v>
      </c>
    </row>
    <row r="87" spans="2:15">
      <c r="B87" s="32">
        <f t="shared" si="12"/>
        <v>85</v>
      </c>
      <c r="C87" s="32">
        <f>Loading!B87</f>
        <v>39566546</v>
      </c>
      <c r="D87" s="32">
        <f>Loading!E87</f>
        <v>1</v>
      </c>
      <c r="E87" s="32">
        <f>Loading!F87</f>
        <v>2695</v>
      </c>
      <c r="F87" s="32">
        <f>Loading!J87</f>
        <v>88</v>
      </c>
      <c r="G87" s="32">
        <f>Loading!K87</f>
        <v>20</v>
      </c>
      <c r="H87" s="32">
        <f>Loading!P87</f>
        <v>4</v>
      </c>
      <c r="I87" s="35">
        <f t="shared" si="13"/>
        <v>31</v>
      </c>
      <c r="J87" s="34" t="str">
        <f>Loading!C87</f>
        <v>54-82-04547-002G</v>
      </c>
      <c r="K87" s="34">
        <f t="shared" si="9"/>
        <v>2</v>
      </c>
      <c r="L87" s="34">
        <f t="shared" si="10"/>
        <v>1.86</v>
      </c>
      <c r="M87" s="34">
        <f t="shared" si="11"/>
        <v>5.87</v>
      </c>
      <c r="N87" s="32">
        <f>ROUND(Loading!N87,2)</f>
        <v>944.19</v>
      </c>
      <c r="O87" s="32">
        <f>Loading!O87</f>
        <v>300</v>
      </c>
    </row>
    <row r="88" spans="2:15">
      <c r="B88" s="32">
        <f t="shared" si="12"/>
        <v>86</v>
      </c>
      <c r="C88" s="32">
        <f>Loading!B88</f>
        <v>39556026</v>
      </c>
      <c r="D88" s="32">
        <f>Loading!E88</f>
        <v>4</v>
      </c>
      <c r="E88" s="32">
        <f>Loading!F88</f>
        <v>20553</v>
      </c>
      <c r="F88" s="32">
        <f>Loading!J88</f>
        <v>40</v>
      </c>
      <c r="G88" s="32">
        <f>Loading!K88</f>
        <v>10</v>
      </c>
      <c r="H88" s="32">
        <f>Loading!P88</f>
        <v>2</v>
      </c>
      <c r="I88" s="35">
        <f t="shared" si="13"/>
        <v>514</v>
      </c>
      <c r="J88" s="34" t="str">
        <f>Loading!C88</f>
        <v>54-82-05060-016G</v>
      </c>
      <c r="K88" s="34">
        <f t="shared" si="9"/>
        <v>51</v>
      </c>
      <c r="L88" s="34">
        <f t="shared" si="10"/>
        <v>2.1</v>
      </c>
      <c r="M88" s="34">
        <f t="shared" si="11"/>
        <v>7.27</v>
      </c>
      <c r="N88" s="32">
        <f>ROUND(Loading!N88,2)</f>
        <v>190.12</v>
      </c>
      <c r="O88" s="32">
        <f>Loading!O88</f>
        <v>54.999999999999993</v>
      </c>
    </row>
    <row r="89" spans="2:15">
      <c r="B89" s="32">
        <f t="shared" si="12"/>
        <v>87</v>
      </c>
      <c r="C89" s="32">
        <f>Loading!B89</f>
        <v>39556812</v>
      </c>
      <c r="D89" s="32">
        <f>Loading!E89</f>
        <v>2</v>
      </c>
      <c r="E89" s="32">
        <f>Loading!F89</f>
        <v>17121</v>
      </c>
      <c r="F89" s="32">
        <f>Loading!J89</f>
        <v>40</v>
      </c>
      <c r="G89" s="32">
        <f>Loading!K89</f>
        <v>20</v>
      </c>
      <c r="H89" s="32">
        <f>Loading!P89</f>
        <v>4</v>
      </c>
      <c r="I89" s="35">
        <f t="shared" si="13"/>
        <v>428</v>
      </c>
      <c r="J89" s="34" t="str">
        <f>Loading!C89</f>
        <v>54-82-05098-016G</v>
      </c>
      <c r="K89" s="34">
        <f t="shared" si="9"/>
        <v>21</v>
      </c>
      <c r="L89" s="34">
        <f t="shared" si="10"/>
        <v>1.17</v>
      </c>
      <c r="M89" s="34">
        <f t="shared" si="11"/>
        <v>10.67</v>
      </c>
      <c r="N89" s="32">
        <f>ROUND(Loading!N89,2)</f>
        <v>682.05</v>
      </c>
      <c r="O89" s="32">
        <f>Loading!O89</f>
        <v>75</v>
      </c>
    </row>
    <row r="90" spans="2:15">
      <c r="B90" s="32">
        <f t="shared" si="12"/>
        <v>88</v>
      </c>
      <c r="C90" s="32">
        <f>Loading!B90</f>
        <v>39762318</v>
      </c>
      <c r="D90" s="32">
        <f>Loading!E90</f>
        <v>2</v>
      </c>
      <c r="E90" s="32">
        <f>Loading!F90</f>
        <v>110110</v>
      </c>
      <c r="F90" s="32">
        <f>Loading!J90</f>
        <v>80</v>
      </c>
      <c r="G90" s="32">
        <f>Loading!K90</f>
        <v>20</v>
      </c>
      <c r="H90" s="32">
        <f>Loading!P90</f>
        <v>4</v>
      </c>
      <c r="I90" s="35">
        <f t="shared" si="13"/>
        <v>1376</v>
      </c>
      <c r="J90" s="34" t="str">
        <f>Loading!C90</f>
        <v>54-82-06601-004G</v>
      </c>
      <c r="K90" s="34">
        <f t="shared" si="9"/>
        <v>69</v>
      </c>
      <c r="L90" s="34">
        <f t="shared" si="10"/>
        <v>2.4300000000000002</v>
      </c>
      <c r="M90" s="34">
        <f t="shared" si="11"/>
        <v>10.67</v>
      </c>
      <c r="N90" s="32">
        <f>ROUND(Loading!N90,2)</f>
        <v>657.41</v>
      </c>
      <c r="O90" s="32">
        <f>Loading!O90</f>
        <v>150</v>
      </c>
    </row>
    <row r="91" spans="2:15">
      <c r="B91" s="32">
        <f t="shared" si="12"/>
        <v>89</v>
      </c>
      <c r="C91" s="32">
        <f>Loading!B91</f>
        <v>39595266</v>
      </c>
      <c r="D91" s="32">
        <f>Loading!E91</f>
        <v>2</v>
      </c>
      <c r="E91" s="32">
        <f>Loading!F91</f>
        <v>30030</v>
      </c>
      <c r="F91" s="32">
        <f>Loading!J91</f>
        <v>80</v>
      </c>
      <c r="G91" s="32">
        <f>Loading!K91</f>
        <v>20</v>
      </c>
      <c r="H91" s="32">
        <f>Loading!P91</f>
        <v>4</v>
      </c>
      <c r="I91" s="35">
        <f t="shared" si="13"/>
        <v>375</v>
      </c>
      <c r="J91" s="34" t="str">
        <f>Loading!C91</f>
        <v>54-82-06601-004G</v>
      </c>
      <c r="K91" s="34">
        <f t="shared" si="9"/>
        <v>19</v>
      </c>
      <c r="L91" s="34">
        <f t="shared" si="10"/>
        <v>2.4300000000000002</v>
      </c>
      <c r="M91" s="34">
        <f t="shared" si="11"/>
        <v>10.67</v>
      </c>
      <c r="N91" s="32">
        <f>ROUND(Loading!N91,2)</f>
        <v>657.41</v>
      </c>
      <c r="O91" s="32">
        <f>Loading!O91</f>
        <v>150</v>
      </c>
    </row>
    <row r="92" spans="2:15">
      <c r="B92" s="32">
        <f t="shared" si="12"/>
        <v>90</v>
      </c>
      <c r="C92" s="32">
        <f>Loading!B92</f>
        <v>39565560</v>
      </c>
      <c r="D92" s="32">
        <f>Loading!E92</f>
        <v>2</v>
      </c>
      <c r="E92" s="32">
        <f>Loading!F92</f>
        <v>60519</v>
      </c>
      <c r="F92" s="32">
        <f>Loading!J92</f>
        <v>48</v>
      </c>
      <c r="G92" s="32">
        <f>Loading!K92</f>
        <v>20</v>
      </c>
      <c r="H92" s="32">
        <f>Loading!P92</f>
        <v>4</v>
      </c>
      <c r="I92" s="35">
        <f t="shared" si="13"/>
        <v>1261</v>
      </c>
      <c r="J92" s="34" t="str">
        <f>Loading!C92</f>
        <v>54-82-06646-008G</v>
      </c>
      <c r="K92" s="34">
        <f t="shared" si="9"/>
        <v>63</v>
      </c>
      <c r="L92" s="34">
        <f t="shared" si="10"/>
        <v>1.49</v>
      </c>
      <c r="M92" s="34">
        <f t="shared" si="11"/>
        <v>6</v>
      </c>
      <c r="N92" s="32">
        <f>ROUND(Loading!N92,2)</f>
        <v>646.15</v>
      </c>
      <c r="O92" s="32">
        <f>Loading!O92</f>
        <v>160</v>
      </c>
    </row>
    <row r="93" spans="2:15">
      <c r="B93" s="32">
        <f t="shared" si="12"/>
        <v>91</v>
      </c>
      <c r="C93" s="32">
        <f>Loading!B93</f>
        <v>39560050</v>
      </c>
      <c r="D93" s="32">
        <f>Loading!E93</f>
        <v>2</v>
      </c>
      <c r="E93" s="32">
        <f>Loading!F93</f>
        <v>10232</v>
      </c>
      <c r="F93" s="32">
        <f>Loading!J93</f>
        <v>48</v>
      </c>
      <c r="G93" s="32">
        <f>Loading!K93</f>
        <v>20</v>
      </c>
      <c r="H93" s="32">
        <f>Loading!P93</f>
        <v>4</v>
      </c>
      <c r="I93" s="35">
        <f t="shared" si="13"/>
        <v>213</v>
      </c>
      <c r="J93" s="34" t="str">
        <f>Loading!C93</f>
        <v>54-82-06646-008G</v>
      </c>
      <c r="K93" s="34">
        <f t="shared" si="9"/>
        <v>11</v>
      </c>
      <c r="L93" s="34">
        <f t="shared" si="10"/>
        <v>1.49</v>
      </c>
      <c r="M93" s="34">
        <f t="shared" si="11"/>
        <v>6</v>
      </c>
      <c r="N93" s="32">
        <f>ROUND(Loading!N93,2)</f>
        <v>646.15</v>
      </c>
      <c r="O93" s="32">
        <f>Loading!O93</f>
        <v>160</v>
      </c>
    </row>
    <row r="94" spans="2:15">
      <c r="B94" s="32">
        <f t="shared" si="12"/>
        <v>92</v>
      </c>
      <c r="C94" s="32">
        <f>Loading!B94</f>
        <v>39560930</v>
      </c>
      <c r="D94" s="32">
        <f>Loading!E94</f>
        <v>2</v>
      </c>
      <c r="E94" s="32">
        <f>Loading!F94</f>
        <v>40821</v>
      </c>
      <c r="F94" s="32">
        <f>Loading!J94</f>
        <v>48</v>
      </c>
      <c r="G94" s="32">
        <f>Loading!K94</f>
        <v>20</v>
      </c>
      <c r="H94" s="32">
        <f>Loading!P94</f>
        <v>4</v>
      </c>
      <c r="I94" s="35">
        <f t="shared" si="13"/>
        <v>850</v>
      </c>
      <c r="J94" s="34" t="str">
        <f>Loading!C94</f>
        <v>54-82-06646-008G</v>
      </c>
      <c r="K94" s="34">
        <f t="shared" si="9"/>
        <v>43</v>
      </c>
      <c r="L94" s="34">
        <f t="shared" si="10"/>
        <v>1.49</v>
      </c>
      <c r="M94" s="34">
        <f t="shared" si="11"/>
        <v>6</v>
      </c>
      <c r="N94" s="32">
        <f>ROUND(Loading!N94,2)</f>
        <v>646.15</v>
      </c>
      <c r="O94" s="32">
        <f>Loading!O94</f>
        <v>160</v>
      </c>
    </row>
    <row r="95" spans="2:15">
      <c r="B95" s="32">
        <f t="shared" si="12"/>
        <v>93</v>
      </c>
      <c r="C95" s="32">
        <f>Loading!B95</f>
        <v>39761062</v>
      </c>
      <c r="D95" s="32">
        <f>Loading!E95</f>
        <v>2</v>
      </c>
      <c r="E95" s="32">
        <f>Loading!F95</f>
        <v>7761</v>
      </c>
      <c r="F95" s="32">
        <f>Loading!J95</f>
        <v>48</v>
      </c>
      <c r="G95" s="32">
        <f>Loading!K95</f>
        <v>20</v>
      </c>
      <c r="H95" s="32">
        <f>Loading!P95</f>
        <v>4</v>
      </c>
      <c r="I95" s="35">
        <f t="shared" si="13"/>
        <v>162</v>
      </c>
      <c r="J95" s="34" t="str">
        <f>Loading!C95</f>
        <v>54-82-06646-008G</v>
      </c>
      <c r="K95" s="34">
        <f t="shared" si="9"/>
        <v>8</v>
      </c>
      <c r="L95" s="34">
        <f t="shared" si="10"/>
        <v>1.49</v>
      </c>
      <c r="M95" s="34">
        <f t="shared" si="11"/>
        <v>6</v>
      </c>
      <c r="N95" s="32">
        <f>ROUND(Loading!N95,2)</f>
        <v>646.15</v>
      </c>
      <c r="O95" s="32">
        <f>Loading!O95</f>
        <v>160</v>
      </c>
    </row>
    <row r="96" spans="2:15">
      <c r="B96" s="32">
        <f t="shared" si="12"/>
        <v>94</v>
      </c>
      <c r="C96" s="32">
        <f>Loading!B96</f>
        <v>39551295</v>
      </c>
      <c r="D96" s="32">
        <f>Loading!E96</f>
        <v>2</v>
      </c>
      <c r="E96" s="32">
        <f>Loading!F96</f>
        <v>29092</v>
      </c>
      <c r="F96" s="32">
        <f>Loading!J96</f>
        <v>48</v>
      </c>
      <c r="G96" s="32">
        <f>Loading!K96</f>
        <v>20</v>
      </c>
      <c r="H96" s="32">
        <f>Loading!P96</f>
        <v>4</v>
      </c>
      <c r="I96" s="35">
        <f t="shared" si="13"/>
        <v>606</v>
      </c>
      <c r="J96" s="34" t="str">
        <f>Loading!C96</f>
        <v>54-82-06646-008G</v>
      </c>
      <c r="K96" s="34">
        <f t="shared" si="9"/>
        <v>30</v>
      </c>
      <c r="L96" s="34">
        <f t="shared" si="10"/>
        <v>1.49</v>
      </c>
      <c r="M96" s="34">
        <f t="shared" si="11"/>
        <v>6</v>
      </c>
      <c r="N96" s="32">
        <f>ROUND(Loading!N96,2)</f>
        <v>646.15</v>
      </c>
      <c r="O96" s="32">
        <f>Loading!O96</f>
        <v>160</v>
      </c>
    </row>
    <row r="97" spans="2:15">
      <c r="B97" s="32">
        <f t="shared" si="12"/>
        <v>95</v>
      </c>
      <c r="C97" s="32">
        <f>Loading!B97</f>
        <v>39567604</v>
      </c>
      <c r="D97" s="32">
        <f>Loading!E97</f>
        <v>1</v>
      </c>
      <c r="E97" s="32">
        <f>Loading!F97</f>
        <v>309997</v>
      </c>
      <c r="F97" s="32">
        <f>Loading!J97</f>
        <v>88</v>
      </c>
      <c r="G97" s="32">
        <f>Loading!K97</f>
        <v>20</v>
      </c>
      <c r="H97" s="32">
        <f>Loading!P97</f>
        <v>4</v>
      </c>
      <c r="I97" s="35">
        <f t="shared" si="13"/>
        <v>3523</v>
      </c>
      <c r="J97" s="34" t="str">
        <f>Loading!C97</f>
        <v>54-82-07010-002G</v>
      </c>
      <c r="K97" s="34">
        <f t="shared" si="9"/>
        <v>176</v>
      </c>
      <c r="L97" s="34">
        <f t="shared" si="10"/>
        <v>3.12</v>
      </c>
      <c r="M97" s="34">
        <f t="shared" si="11"/>
        <v>5.5</v>
      </c>
      <c r="N97" s="32">
        <f>ROUND(Loading!N97,2)</f>
        <v>563.89</v>
      </c>
      <c r="O97" s="32">
        <f>Loading!O97</f>
        <v>320</v>
      </c>
    </row>
    <row r="98" spans="2:15">
      <c r="B98" s="32">
        <f t="shared" si="12"/>
        <v>96</v>
      </c>
      <c r="C98" s="32">
        <f>Loading!B98</f>
        <v>39567605</v>
      </c>
      <c r="D98" s="32">
        <f>Loading!E98</f>
        <v>1</v>
      </c>
      <c r="E98" s="32">
        <f>Loading!F98</f>
        <v>245002</v>
      </c>
      <c r="F98" s="32">
        <f>Loading!J98</f>
        <v>88</v>
      </c>
      <c r="G98" s="32">
        <f>Loading!K98</f>
        <v>20</v>
      </c>
      <c r="H98" s="32">
        <f>Loading!P98</f>
        <v>4</v>
      </c>
      <c r="I98" s="35">
        <f t="shared" si="13"/>
        <v>2784</v>
      </c>
      <c r="J98" s="34" t="str">
        <f>Loading!C98</f>
        <v>54-82-07010-002G</v>
      </c>
      <c r="K98" s="34">
        <f t="shared" si="9"/>
        <v>139</v>
      </c>
      <c r="L98" s="34">
        <f t="shared" si="10"/>
        <v>3.12</v>
      </c>
      <c r="M98" s="34">
        <f t="shared" si="11"/>
        <v>5.5</v>
      </c>
      <c r="N98" s="32">
        <f>ROUND(Loading!N98,2)</f>
        <v>563.89</v>
      </c>
      <c r="O98" s="32">
        <f>Loading!O98</f>
        <v>320</v>
      </c>
    </row>
    <row r="99" spans="2:15">
      <c r="B99" s="32">
        <f t="shared" si="12"/>
        <v>97</v>
      </c>
      <c r="C99" s="32">
        <f>Loading!B99</f>
        <v>39561229</v>
      </c>
      <c r="D99" s="32">
        <f>Loading!E99</f>
        <v>1</v>
      </c>
      <c r="E99" s="32">
        <f>Loading!F99</f>
        <v>245001</v>
      </c>
      <c r="F99" s="32">
        <f>Loading!J99</f>
        <v>88</v>
      </c>
      <c r="G99" s="32">
        <f>Loading!K99</f>
        <v>20</v>
      </c>
      <c r="H99" s="32">
        <f>Loading!P99</f>
        <v>4</v>
      </c>
      <c r="I99" s="35">
        <f t="shared" si="13"/>
        <v>2784</v>
      </c>
      <c r="J99" s="34" t="str">
        <f>Loading!C99</f>
        <v>54-82-07010-002G</v>
      </c>
      <c r="K99" s="34">
        <f t="shared" ref="K99:K130" si="14">ROUND(I99/G99,0)</f>
        <v>139</v>
      </c>
      <c r="L99" s="34">
        <f t="shared" ref="L99:L130" si="15">ROUND(F99*G99/N99,2)</f>
        <v>3.12</v>
      </c>
      <c r="M99" s="34">
        <f t="shared" ref="M99:M130" si="16">ROUND(F99*G99/O99,2)</f>
        <v>5.5</v>
      </c>
      <c r="N99" s="32">
        <f>ROUND(Loading!N99,2)</f>
        <v>563.89</v>
      </c>
      <c r="O99" s="32">
        <f>Loading!O99</f>
        <v>320</v>
      </c>
    </row>
    <row r="100" spans="2:15">
      <c r="B100" s="32">
        <f t="shared" si="12"/>
        <v>98</v>
      </c>
      <c r="C100" s="32">
        <f>Loading!B100</f>
        <v>39569929</v>
      </c>
      <c r="D100" s="32">
        <f>Loading!E100</f>
        <v>1</v>
      </c>
      <c r="E100" s="32">
        <f>Loading!F100</f>
        <v>79163</v>
      </c>
      <c r="F100" s="32">
        <f>Loading!J100</f>
        <v>88</v>
      </c>
      <c r="G100" s="32">
        <f>Loading!K100</f>
        <v>20</v>
      </c>
      <c r="H100" s="32">
        <f>Loading!P100</f>
        <v>4</v>
      </c>
      <c r="I100" s="35">
        <f t="shared" si="13"/>
        <v>900</v>
      </c>
      <c r="J100" s="34" t="str">
        <f>Loading!C100</f>
        <v>54-82-07011-004G</v>
      </c>
      <c r="K100" s="34">
        <f t="shared" si="14"/>
        <v>45</v>
      </c>
      <c r="L100" s="34">
        <f t="shared" si="15"/>
        <v>3.12</v>
      </c>
      <c r="M100" s="34">
        <f t="shared" si="16"/>
        <v>5.87</v>
      </c>
      <c r="N100" s="32">
        <f>ROUND(Loading!N100,2)</f>
        <v>563.89</v>
      </c>
      <c r="O100" s="32">
        <f>Loading!O100</f>
        <v>300</v>
      </c>
    </row>
    <row r="101" spans="2:15">
      <c r="B101" s="32">
        <f t="shared" si="12"/>
        <v>99</v>
      </c>
      <c r="C101" s="32">
        <f>Loading!B101</f>
        <v>39560826</v>
      </c>
      <c r="D101" s="32">
        <f>Loading!E101</f>
        <v>1</v>
      </c>
      <c r="E101" s="32">
        <f>Loading!F101</f>
        <v>1231</v>
      </c>
      <c r="F101" s="32">
        <f>Loading!J101</f>
        <v>66</v>
      </c>
      <c r="G101" s="32">
        <f>Loading!K101</f>
        <v>20</v>
      </c>
      <c r="H101" s="32">
        <f>Loading!P101</f>
        <v>4</v>
      </c>
      <c r="I101" s="35">
        <f t="shared" si="13"/>
        <v>19</v>
      </c>
      <c r="J101" s="34" t="str">
        <f>Loading!C101</f>
        <v>54-82-08137-002G</v>
      </c>
      <c r="K101" s="34">
        <f t="shared" si="14"/>
        <v>1</v>
      </c>
      <c r="L101" s="34">
        <f t="shared" si="15"/>
        <v>1.49</v>
      </c>
      <c r="M101" s="34">
        <f t="shared" si="16"/>
        <v>4.4000000000000004</v>
      </c>
      <c r="N101" s="32">
        <f>ROUND(Loading!N101,2)</f>
        <v>884.21</v>
      </c>
      <c r="O101" s="32">
        <f>Loading!O101</f>
        <v>300</v>
      </c>
    </row>
    <row r="102" spans="2:15">
      <c r="B102" s="32">
        <f t="shared" si="12"/>
        <v>100</v>
      </c>
      <c r="C102" s="32">
        <f>Loading!B102</f>
        <v>39554132</v>
      </c>
      <c r="D102" s="32">
        <f>Loading!E102</f>
        <v>1</v>
      </c>
      <c r="E102" s="32">
        <f>Loading!F102</f>
        <v>3883</v>
      </c>
      <c r="F102" s="32">
        <f>Loading!J102</f>
        <v>66</v>
      </c>
      <c r="G102" s="32">
        <f>Loading!K102</f>
        <v>20</v>
      </c>
      <c r="H102" s="32">
        <f>Loading!P102</f>
        <v>4</v>
      </c>
      <c r="I102" s="35">
        <f t="shared" si="13"/>
        <v>59</v>
      </c>
      <c r="J102" s="34" t="str">
        <f>Loading!C102</f>
        <v>54-82-08137-002G</v>
      </c>
      <c r="K102" s="34">
        <f t="shared" si="14"/>
        <v>3</v>
      </c>
      <c r="L102" s="34">
        <f t="shared" si="15"/>
        <v>1.49</v>
      </c>
      <c r="M102" s="34">
        <f t="shared" si="16"/>
        <v>4.4000000000000004</v>
      </c>
      <c r="N102" s="32">
        <f>ROUND(Loading!N102,2)</f>
        <v>884.21</v>
      </c>
      <c r="O102" s="32">
        <f>Loading!O102</f>
        <v>300</v>
      </c>
    </row>
    <row r="103" spans="2:15">
      <c r="B103" s="32">
        <f t="shared" si="12"/>
        <v>101</v>
      </c>
      <c r="C103" s="32">
        <f>Loading!B103</f>
        <v>39557489</v>
      </c>
      <c r="D103" s="32">
        <f>Loading!E103</f>
        <v>1</v>
      </c>
      <c r="E103" s="32">
        <f>Loading!F103</f>
        <v>9628</v>
      </c>
      <c r="F103" s="32">
        <f>Loading!J103</f>
        <v>66</v>
      </c>
      <c r="G103" s="32">
        <f>Loading!K103</f>
        <v>20</v>
      </c>
      <c r="H103" s="32">
        <f>Loading!P103</f>
        <v>4</v>
      </c>
      <c r="I103" s="35">
        <f t="shared" si="13"/>
        <v>146</v>
      </c>
      <c r="J103" s="34" t="str">
        <f>Loading!C103</f>
        <v>54-82-08137-002G</v>
      </c>
      <c r="K103" s="34">
        <f t="shared" si="14"/>
        <v>7</v>
      </c>
      <c r="L103" s="34">
        <f t="shared" si="15"/>
        <v>1.49</v>
      </c>
      <c r="M103" s="34">
        <f t="shared" si="16"/>
        <v>4.4000000000000004</v>
      </c>
      <c r="N103" s="32">
        <f>ROUND(Loading!N103,2)</f>
        <v>884.21</v>
      </c>
      <c r="O103" s="32">
        <f>Loading!O103</f>
        <v>300</v>
      </c>
    </row>
    <row r="104" spans="2:15">
      <c r="B104" s="32">
        <f t="shared" si="12"/>
        <v>102</v>
      </c>
      <c r="C104" s="32">
        <f>Loading!B104</f>
        <v>39557829</v>
      </c>
      <c r="D104" s="32">
        <f>Loading!E104</f>
        <v>1</v>
      </c>
      <c r="E104" s="32">
        <f>Loading!F104</f>
        <v>118</v>
      </c>
      <c r="F104" s="32">
        <f>Loading!J104</f>
        <v>66</v>
      </c>
      <c r="G104" s="32">
        <f>Loading!K104</f>
        <v>20</v>
      </c>
      <c r="H104" s="32">
        <f>Loading!P104</f>
        <v>4</v>
      </c>
      <c r="I104" s="35">
        <f t="shared" ref="I104:I135" si="17">ROUND(E104/F104,0)</f>
        <v>2</v>
      </c>
      <c r="J104" s="34" t="str">
        <f>Loading!C104</f>
        <v>54-82-08213-004G</v>
      </c>
      <c r="K104" s="34">
        <f t="shared" si="14"/>
        <v>0</v>
      </c>
      <c r="L104" s="34">
        <f t="shared" si="15"/>
        <v>1.49</v>
      </c>
      <c r="M104" s="34">
        <f t="shared" si="16"/>
        <v>4</v>
      </c>
      <c r="N104" s="32">
        <f>ROUND(Loading!N104,2)</f>
        <v>884.21</v>
      </c>
      <c r="O104" s="32">
        <f>Loading!O104</f>
        <v>330</v>
      </c>
    </row>
    <row r="105" spans="2:15">
      <c r="B105" s="32">
        <f t="shared" si="12"/>
        <v>103</v>
      </c>
      <c r="C105" s="32">
        <f>Loading!B105</f>
        <v>39556108</v>
      </c>
      <c r="D105" s="32">
        <f>Loading!E105</f>
        <v>1</v>
      </c>
      <c r="E105" s="32">
        <f>Loading!F105</f>
        <v>24321</v>
      </c>
      <c r="F105" s="32">
        <f>Loading!J105</f>
        <v>66</v>
      </c>
      <c r="G105" s="32">
        <f>Loading!K105</f>
        <v>20</v>
      </c>
      <c r="H105" s="32">
        <f>Loading!P105</f>
        <v>4</v>
      </c>
      <c r="I105" s="35">
        <f t="shared" si="17"/>
        <v>369</v>
      </c>
      <c r="J105" s="34" t="str">
        <f>Loading!C105</f>
        <v>54-82-08213-004G</v>
      </c>
      <c r="K105" s="34">
        <f t="shared" si="14"/>
        <v>18</v>
      </c>
      <c r="L105" s="34">
        <f t="shared" si="15"/>
        <v>1.49</v>
      </c>
      <c r="M105" s="34">
        <f t="shared" si="16"/>
        <v>4</v>
      </c>
      <c r="N105" s="32">
        <f>ROUND(Loading!N105,2)</f>
        <v>884.21</v>
      </c>
      <c r="O105" s="32">
        <f>Loading!O105</f>
        <v>330</v>
      </c>
    </row>
    <row r="106" spans="2:15">
      <c r="B106" s="32">
        <f t="shared" si="12"/>
        <v>104</v>
      </c>
      <c r="C106" s="32">
        <f>Loading!B106</f>
        <v>39557307</v>
      </c>
      <c r="D106" s="32">
        <f>Loading!E106</f>
        <v>1</v>
      </c>
      <c r="E106" s="32">
        <f>Loading!F106</f>
        <v>45315</v>
      </c>
      <c r="F106" s="32">
        <f>Loading!J106</f>
        <v>66</v>
      </c>
      <c r="G106" s="32">
        <f>Loading!K106</f>
        <v>20</v>
      </c>
      <c r="H106" s="32">
        <f>Loading!P106</f>
        <v>4</v>
      </c>
      <c r="I106" s="35">
        <f t="shared" si="17"/>
        <v>687</v>
      </c>
      <c r="J106" s="34" t="str">
        <f>Loading!C106</f>
        <v>54-82-08213-004G</v>
      </c>
      <c r="K106" s="34">
        <f t="shared" si="14"/>
        <v>34</v>
      </c>
      <c r="L106" s="34">
        <f t="shared" si="15"/>
        <v>1.49</v>
      </c>
      <c r="M106" s="34">
        <f t="shared" si="16"/>
        <v>4</v>
      </c>
      <c r="N106" s="32">
        <f>ROUND(Loading!N106,2)</f>
        <v>884.21</v>
      </c>
      <c r="O106" s="32">
        <f>Loading!O106</f>
        <v>330</v>
      </c>
    </row>
    <row r="107" spans="2:15">
      <c r="B107" s="32">
        <f t="shared" si="12"/>
        <v>105</v>
      </c>
      <c r="C107" s="32">
        <f>Loading!B107</f>
        <v>39761063</v>
      </c>
      <c r="D107" s="32">
        <f>Loading!E107</f>
        <v>2</v>
      </c>
      <c r="E107" s="32">
        <f>Loading!F107</f>
        <v>84652</v>
      </c>
      <c r="F107" s="32">
        <f>Loading!J107</f>
        <v>66</v>
      </c>
      <c r="G107" s="32">
        <f>Loading!K107</f>
        <v>20</v>
      </c>
      <c r="H107" s="32">
        <f>Loading!P107</f>
        <v>4</v>
      </c>
      <c r="I107" s="35">
        <f t="shared" si="17"/>
        <v>1283</v>
      </c>
      <c r="J107" s="34" t="str">
        <f>Loading!C107</f>
        <v>54-82-08213-008G</v>
      </c>
      <c r="K107" s="34">
        <f t="shared" si="14"/>
        <v>64</v>
      </c>
      <c r="L107" s="34">
        <f t="shared" si="15"/>
        <v>2.04</v>
      </c>
      <c r="M107" s="34">
        <f t="shared" si="16"/>
        <v>8.8000000000000007</v>
      </c>
      <c r="N107" s="32">
        <f>ROUND(Loading!N107,2)</f>
        <v>646.15</v>
      </c>
      <c r="O107" s="32">
        <f>Loading!O107</f>
        <v>150</v>
      </c>
    </row>
    <row r="108" spans="2:15">
      <c r="B108" s="32">
        <f t="shared" si="12"/>
        <v>106</v>
      </c>
      <c r="C108" s="32">
        <f>Loading!B108</f>
        <v>39557286</v>
      </c>
      <c r="D108" s="32">
        <f>Loading!E108</f>
        <v>2</v>
      </c>
      <c r="E108" s="32">
        <f>Loading!F108</f>
        <v>163776</v>
      </c>
      <c r="F108" s="32">
        <f>Loading!J108</f>
        <v>66</v>
      </c>
      <c r="G108" s="32">
        <f>Loading!K108</f>
        <v>20</v>
      </c>
      <c r="H108" s="32">
        <f>Loading!P108</f>
        <v>4</v>
      </c>
      <c r="I108" s="35">
        <f t="shared" si="17"/>
        <v>2481</v>
      </c>
      <c r="J108" s="34" t="str">
        <f>Loading!C108</f>
        <v>54-82-08213-008G</v>
      </c>
      <c r="K108" s="34">
        <f t="shared" si="14"/>
        <v>124</v>
      </c>
      <c r="L108" s="34">
        <f t="shared" si="15"/>
        <v>2.04</v>
      </c>
      <c r="M108" s="34">
        <f t="shared" si="16"/>
        <v>8.8000000000000007</v>
      </c>
      <c r="N108" s="32">
        <f>ROUND(Loading!N108,2)</f>
        <v>646.15</v>
      </c>
      <c r="O108" s="32">
        <f>Loading!O108</f>
        <v>150</v>
      </c>
    </row>
    <row r="109" spans="2:15">
      <c r="B109" s="32">
        <f t="shared" si="12"/>
        <v>107</v>
      </c>
      <c r="C109" s="32">
        <f>Loading!B109</f>
        <v>39552131</v>
      </c>
      <c r="D109" s="32">
        <f>Loading!E109</f>
        <v>2</v>
      </c>
      <c r="E109" s="32">
        <f>Loading!F109</f>
        <v>2517</v>
      </c>
      <c r="F109" s="32">
        <f>Loading!J109</f>
        <v>66</v>
      </c>
      <c r="G109" s="32">
        <f>Loading!K109</f>
        <v>20</v>
      </c>
      <c r="H109" s="32">
        <f>Loading!P109</f>
        <v>4</v>
      </c>
      <c r="I109" s="35">
        <f t="shared" si="17"/>
        <v>38</v>
      </c>
      <c r="J109" s="34" t="str">
        <f>Loading!C109</f>
        <v>54-82-08213-008G</v>
      </c>
      <c r="K109" s="34">
        <f t="shared" si="14"/>
        <v>2</v>
      </c>
      <c r="L109" s="34">
        <f t="shared" si="15"/>
        <v>2.04</v>
      </c>
      <c r="M109" s="34">
        <f t="shared" si="16"/>
        <v>8.8000000000000007</v>
      </c>
      <c r="N109" s="32">
        <f>ROUND(Loading!N109,2)</f>
        <v>646.15</v>
      </c>
      <c r="O109" s="32">
        <f>Loading!O109</f>
        <v>150</v>
      </c>
    </row>
    <row r="110" spans="2:15">
      <c r="B110" s="32">
        <f t="shared" si="12"/>
        <v>108</v>
      </c>
      <c r="C110" s="32">
        <f>Loading!B110</f>
        <v>39565287</v>
      </c>
      <c r="D110" s="32">
        <f>Loading!E110</f>
        <v>1</v>
      </c>
      <c r="E110" s="32">
        <f>Loading!F110</f>
        <v>6766</v>
      </c>
      <c r="F110" s="32">
        <f>Loading!J110</f>
        <v>48</v>
      </c>
      <c r="G110" s="32">
        <f>Loading!K110</f>
        <v>20</v>
      </c>
      <c r="H110" s="32">
        <f>Loading!P110</f>
        <v>4</v>
      </c>
      <c r="I110" s="35">
        <f t="shared" si="17"/>
        <v>141</v>
      </c>
      <c r="J110" s="34" t="str">
        <f>Loading!C110</f>
        <v>54-82-08267-008G</v>
      </c>
      <c r="K110" s="34">
        <f t="shared" si="14"/>
        <v>7</v>
      </c>
      <c r="L110" s="34">
        <f t="shared" si="15"/>
        <v>1.02</v>
      </c>
      <c r="M110" s="34">
        <f t="shared" si="16"/>
        <v>2.91</v>
      </c>
      <c r="N110" s="32">
        <f>ROUND(Loading!N110,2)</f>
        <v>944.19</v>
      </c>
      <c r="O110" s="32">
        <f>Loading!O110</f>
        <v>330</v>
      </c>
    </row>
    <row r="111" spans="2:15">
      <c r="B111" s="32">
        <f t="shared" si="12"/>
        <v>109</v>
      </c>
      <c r="C111" s="32">
        <f>Loading!B111</f>
        <v>39565288</v>
      </c>
      <c r="D111" s="32">
        <f>Loading!E111</f>
        <v>1</v>
      </c>
      <c r="E111" s="32">
        <f>Loading!F111</f>
        <v>19582</v>
      </c>
      <c r="F111" s="32">
        <f>Loading!J111</f>
        <v>48</v>
      </c>
      <c r="G111" s="32">
        <f>Loading!K111</f>
        <v>20</v>
      </c>
      <c r="H111" s="32">
        <f>Loading!P111</f>
        <v>4</v>
      </c>
      <c r="I111" s="35">
        <f t="shared" si="17"/>
        <v>408</v>
      </c>
      <c r="J111" s="34" t="str">
        <f>Loading!C111</f>
        <v>54-82-08267-008G</v>
      </c>
      <c r="K111" s="34">
        <f t="shared" si="14"/>
        <v>20</v>
      </c>
      <c r="L111" s="34">
        <f t="shared" si="15"/>
        <v>1.02</v>
      </c>
      <c r="M111" s="34">
        <f t="shared" si="16"/>
        <v>2.91</v>
      </c>
      <c r="N111" s="32">
        <f>ROUND(Loading!N111,2)</f>
        <v>944.19</v>
      </c>
      <c r="O111" s="32">
        <f>Loading!O111</f>
        <v>330</v>
      </c>
    </row>
    <row r="112" spans="2:15">
      <c r="B112" s="32">
        <f t="shared" si="12"/>
        <v>110</v>
      </c>
      <c r="C112" s="32">
        <f>Loading!B112</f>
        <v>39568617</v>
      </c>
      <c r="D112" s="32">
        <f>Loading!E112</f>
        <v>2</v>
      </c>
      <c r="E112" s="32">
        <f>Loading!F112</f>
        <v>5643</v>
      </c>
      <c r="F112" s="32">
        <f>Loading!J112</f>
        <v>48</v>
      </c>
      <c r="G112" s="32">
        <f>Loading!K112</f>
        <v>20</v>
      </c>
      <c r="H112" s="32">
        <f>Loading!P112</f>
        <v>4</v>
      </c>
      <c r="I112" s="35">
        <f t="shared" si="17"/>
        <v>118</v>
      </c>
      <c r="J112" s="34" t="str">
        <f>Loading!C112</f>
        <v>54-82-08267-016G</v>
      </c>
      <c r="K112" s="34">
        <f t="shared" si="14"/>
        <v>6</v>
      </c>
      <c r="L112" s="34">
        <f t="shared" si="15"/>
        <v>1.41</v>
      </c>
      <c r="M112" s="34">
        <f t="shared" si="16"/>
        <v>6</v>
      </c>
      <c r="N112" s="32">
        <f>ROUND(Loading!N112,2)</f>
        <v>682.05</v>
      </c>
      <c r="O112" s="32">
        <f>Loading!O112</f>
        <v>160</v>
      </c>
    </row>
    <row r="113" spans="2:15">
      <c r="B113" s="32">
        <f t="shared" si="12"/>
        <v>111</v>
      </c>
      <c r="C113" s="32">
        <f>Loading!B113</f>
        <v>39595800</v>
      </c>
      <c r="D113" s="32">
        <f>Loading!E113</f>
        <v>1</v>
      </c>
      <c r="E113" s="32">
        <f>Loading!F113</f>
        <v>107841</v>
      </c>
      <c r="F113" s="32">
        <f>Loading!J113</f>
        <v>48</v>
      </c>
      <c r="G113" s="32">
        <f>Loading!K113</f>
        <v>20</v>
      </c>
      <c r="H113" s="32">
        <f>Loading!P113</f>
        <v>4</v>
      </c>
      <c r="I113" s="35">
        <f t="shared" si="17"/>
        <v>2247</v>
      </c>
      <c r="J113" s="34" t="str">
        <f>Loading!C113</f>
        <v>54-82-08356-004G</v>
      </c>
      <c r="K113" s="34">
        <f t="shared" si="14"/>
        <v>112</v>
      </c>
      <c r="L113" s="34">
        <f t="shared" si="15"/>
        <v>1.0900000000000001</v>
      </c>
      <c r="M113" s="34">
        <f t="shared" si="16"/>
        <v>3</v>
      </c>
      <c r="N113" s="32">
        <f>ROUND(Loading!N113,2)</f>
        <v>884.21</v>
      </c>
      <c r="O113" s="32">
        <f>Loading!O113</f>
        <v>320</v>
      </c>
    </row>
    <row r="114" spans="2:15">
      <c r="B114" s="32">
        <f t="shared" si="12"/>
        <v>112</v>
      </c>
      <c r="C114" s="32">
        <f>Loading!B114</f>
        <v>39761055</v>
      </c>
      <c r="D114" s="32">
        <f>Loading!E114</f>
        <v>2</v>
      </c>
      <c r="E114" s="32">
        <f>Loading!F114</f>
        <v>20020</v>
      </c>
      <c r="F114" s="32">
        <f>Loading!J114</f>
        <v>48</v>
      </c>
      <c r="G114" s="32">
        <f>Loading!K114</f>
        <v>20</v>
      </c>
      <c r="H114" s="32">
        <f>Loading!P114</f>
        <v>4</v>
      </c>
      <c r="I114" s="35">
        <f t="shared" si="17"/>
        <v>417</v>
      </c>
      <c r="J114" s="34" t="str">
        <f>Loading!C114</f>
        <v>54-82-08356-016G</v>
      </c>
      <c r="K114" s="34">
        <f t="shared" si="14"/>
        <v>21</v>
      </c>
      <c r="L114" s="34">
        <f t="shared" si="15"/>
        <v>1.49</v>
      </c>
      <c r="M114" s="34">
        <f t="shared" si="16"/>
        <v>5.33</v>
      </c>
      <c r="N114" s="32">
        <f>ROUND(Loading!N114,2)</f>
        <v>646.15</v>
      </c>
      <c r="O114" s="32">
        <f>Loading!O114</f>
        <v>180</v>
      </c>
    </row>
    <row r="115" spans="2:15">
      <c r="B115" s="32">
        <f t="shared" si="12"/>
        <v>113</v>
      </c>
      <c r="C115" s="32">
        <f>Loading!B115</f>
        <v>39565299</v>
      </c>
      <c r="D115" s="32">
        <f>Loading!E115</f>
        <v>2</v>
      </c>
      <c r="E115" s="32">
        <f>Loading!F115</f>
        <v>11071</v>
      </c>
      <c r="F115" s="32">
        <f>Loading!J115</f>
        <v>48</v>
      </c>
      <c r="G115" s="32">
        <f>Loading!K115</f>
        <v>20</v>
      </c>
      <c r="H115" s="32">
        <f>Loading!P115</f>
        <v>4</v>
      </c>
      <c r="I115" s="35">
        <f t="shared" si="17"/>
        <v>231</v>
      </c>
      <c r="J115" s="34" t="str">
        <f>Loading!C115</f>
        <v>54-82-08356-016G</v>
      </c>
      <c r="K115" s="34">
        <f t="shared" si="14"/>
        <v>12</v>
      </c>
      <c r="L115" s="34">
        <f t="shared" si="15"/>
        <v>1.49</v>
      </c>
      <c r="M115" s="34">
        <f t="shared" si="16"/>
        <v>5.33</v>
      </c>
      <c r="N115" s="32">
        <f>ROUND(Loading!N115,2)</f>
        <v>646.15</v>
      </c>
      <c r="O115" s="32">
        <f>Loading!O115</f>
        <v>180</v>
      </c>
    </row>
    <row r="116" spans="2:15">
      <c r="B116" s="32">
        <f t="shared" si="12"/>
        <v>114</v>
      </c>
      <c r="C116" s="32">
        <f>Loading!B116</f>
        <v>39561088</v>
      </c>
      <c r="D116" s="32">
        <f>Loading!E116</f>
        <v>2</v>
      </c>
      <c r="E116" s="32">
        <f>Loading!F116</f>
        <v>6801</v>
      </c>
      <c r="F116" s="32">
        <f>Loading!J116</f>
        <v>48</v>
      </c>
      <c r="G116" s="32">
        <f>Loading!K116</f>
        <v>20</v>
      </c>
      <c r="H116" s="32">
        <f>Loading!P116</f>
        <v>4</v>
      </c>
      <c r="I116" s="35">
        <f t="shared" si="17"/>
        <v>142</v>
      </c>
      <c r="J116" s="34" t="str">
        <f>Loading!C116</f>
        <v>54-82-08356-016G</v>
      </c>
      <c r="K116" s="34">
        <f t="shared" si="14"/>
        <v>7</v>
      </c>
      <c r="L116" s="34">
        <f t="shared" si="15"/>
        <v>1.49</v>
      </c>
      <c r="M116" s="34">
        <f t="shared" si="16"/>
        <v>5.33</v>
      </c>
      <c r="N116" s="32">
        <f>ROUND(Loading!N116,2)</f>
        <v>646.15</v>
      </c>
      <c r="O116" s="32">
        <f>Loading!O116</f>
        <v>180</v>
      </c>
    </row>
    <row r="117" spans="2:15">
      <c r="B117" s="32">
        <f t="shared" si="12"/>
        <v>115</v>
      </c>
      <c r="C117" s="32">
        <f>Loading!B117</f>
        <v>39595803</v>
      </c>
      <c r="D117" s="32">
        <f>Loading!E117</f>
        <v>1</v>
      </c>
      <c r="E117" s="32">
        <f>Loading!F117</f>
        <v>149611</v>
      </c>
      <c r="F117" s="32">
        <f>Loading!J117</f>
        <v>48</v>
      </c>
      <c r="G117" s="32">
        <f>Loading!K117</f>
        <v>20</v>
      </c>
      <c r="H117" s="32">
        <f>Loading!P117</f>
        <v>4</v>
      </c>
      <c r="I117" s="35">
        <f t="shared" si="17"/>
        <v>3117</v>
      </c>
      <c r="J117" s="34" t="str">
        <f>Loading!C117</f>
        <v>54-82-08547-008G</v>
      </c>
      <c r="K117" s="34">
        <f t="shared" si="14"/>
        <v>156</v>
      </c>
      <c r="L117" s="34">
        <f t="shared" si="15"/>
        <v>1.0900000000000001</v>
      </c>
      <c r="M117" s="34">
        <f t="shared" si="16"/>
        <v>3</v>
      </c>
      <c r="N117" s="32">
        <f>ROUND(Loading!N117,2)</f>
        <v>884.21</v>
      </c>
      <c r="O117" s="32">
        <f>Loading!O117</f>
        <v>320</v>
      </c>
    </row>
    <row r="118" spans="2:15">
      <c r="B118" s="32">
        <f t="shared" si="12"/>
        <v>116</v>
      </c>
      <c r="C118" s="32">
        <f>Loading!B118</f>
        <v>39761059</v>
      </c>
      <c r="D118" s="32">
        <f>Loading!E118</f>
        <v>1</v>
      </c>
      <c r="E118" s="32">
        <f>Loading!F118</f>
        <v>162490</v>
      </c>
      <c r="F118" s="32">
        <f>Loading!J118</f>
        <v>48</v>
      </c>
      <c r="G118" s="32">
        <f>Loading!K118</f>
        <v>20</v>
      </c>
      <c r="H118" s="32">
        <f>Loading!P118</f>
        <v>4</v>
      </c>
      <c r="I118" s="35">
        <f t="shared" si="17"/>
        <v>3385</v>
      </c>
      <c r="J118" s="34" t="str">
        <f>Loading!C118</f>
        <v>54-82-08547-008G</v>
      </c>
      <c r="K118" s="34">
        <f t="shared" si="14"/>
        <v>169</v>
      </c>
      <c r="L118" s="34">
        <f t="shared" si="15"/>
        <v>1.0900000000000001</v>
      </c>
      <c r="M118" s="34">
        <f t="shared" si="16"/>
        <v>3</v>
      </c>
      <c r="N118" s="32">
        <f>ROUND(Loading!N118,2)</f>
        <v>884.21</v>
      </c>
      <c r="O118" s="32">
        <f>Loading!O118</f>
        <v>320</v>
      </c>
    </row>
    <row r="119" spans="2:15">
      <c r="B119" s="32">
        <f t="shared" si="12"/>
        <v>117</v>
      </c>
      <c r="C119" s="32">
        <f>Loading!B119</f>
        <v>39559243</v>
      </c>
      <c r="D119" s="32">
        <f>Loading!E119</f>
        <v>1</v>
      </c>
      <c r="E119" s="32">
        <f>Loading!F119</f>
        <v>10096</v>
      </c>
      <c r="F119" s="32">
        <f>Loading!J119</f>
        <v>48</v>
      </c>
      <c r="G119" s="32">
        <f>Loading!K119</f>
        <v>20</v>
      </c>
      <c r="H119" s="32">
        <f>Loading!P119</f>
        <v>4</v>
      </c>
      <c r="I119" s="35">
        <f t="shared" si="17"/>
        <v>210</v>
      </c>
      <c r="J119" s="34" t="str">
        <f>Loading!C119</f>
        <v>54-82-08547-008G</v>
      </c>
      <c r="K119" s="34">
        <f t="shared" si="14"/>
        <v>11</v>
      </c>
      <c r="L119" s="34">
        <f t="shared" si="15"/>
        <v>1.0900000000000001</v>
      </c>
      <c r="M119" s="34">
        <f t="shared" si="16"/>
        <v>3</v>
      </c>
      <c r="N119" s="32">
        <f>ROUND(Loading!N119,2)</f>
        <v>884.21</v>
      </c>
      <c r="O119" s="32">
        <f>Loading!O119</f>
        <v>320</v>
      </c>
    </row>
    <row r="120" spans="2:15">
      <c r="B120" s="32">
        <f t="shared" si="12"/>
        <v>118</v>
      </c>
      <c r="C120" s="32">
        <f>Loading!B120</f>
        <v>39559244</v>
      </c>
      <c r="D120" s="32">
        <f>Loading!E120</f>
        <v>1</v>
      </c>
      <c r="E120" s="32">
        <f>Loading!F120</f>
        <v>13080</v>
      </c>
      <c r="F120" s="32">
        <f>Loading!J120</f>
        <v>48</v>
      </c>
      <c r="G120" s="32">
        <f>Loading!K120</f>
        <v>20</v>
      </c>
      <c r="H120" s="32">
        <f>Loading!P120</f>
        <v>4</v>
      </c>
      <c r="I120" s="35">
        <f t="shared" si="17"/>
        <v>273</v>
      </c>
      <c r="J120" s="34" t="str">
        <f>Loading!C120</f>
        <v>54-82-08547-008G</v>
      </c>
      <c r="K120" s="34">
        <f t="shared" si="14"/>
        <v>14</v>
      </c>
      <c r="L120" s="34">
        <f t="shared" si="15"/>
        <v>1.0900000000000001</v>
      </c>
      <c r="M120" s="34">
        <f t="shared" si="16"/>
        <v>3</v>
      </c>
      <c r="N120" s="32">
        <f>ROUND(Loading!N120,2)</f>
        <v>884.21</v>
      </c>
      <c r="O120" s="32">
        <f>Loading!O120</f>
        <v>320</v>
      </c>
    </row>
    <row r="121" spans="2:15">
      <c r="B121" s="32">
        <f t="shared" si="12"/>
        <v>119</v>
      </c>
      <c r="C121" s="32">
        <f>Loading!B121</f>
        <v>39595805</v>
      </c>
      <c r="D121" s="32">
        <f>Loading!E121</f>
        <v>2</v>
      </c>
      <c r="E121" s="32">
        <f>Loading!F121</f>
        <v>12264</v>
      </c>
      <c r="F121" s="32">
        <f>Loading!J121</f>
        <v>48</v>
      </c>
      <c r="G121" s="32">
        <f>Loading!K121</f>
        <v>20</v>
      </c>
      <c r="H121" s="32">
        <f>Loading!P121</f>
        <v>4</v>
      </c>
      <c r="I121" s="35">
        <f t="shared" si="17"/>
        <v>256</v>
      </c>
      <c r="J121" s="34" t="str">
        <f>Loading!C121</f>
        <v>54-82-08547-016G</v>
      </c>
      <c r="K121" s="34">
        <f t="shared" si="14"/>
        <v>13</v>
      </c>
      <c r="L121" s="34">
        <f t="shared" si="15"/>
        <v>1.49</v>
      </c>
      <c r="M121" s="34">
        <f t="shared" si="16"/>
        <v>5.05</v>
      </c>
      <c r="N121" s="32">
        <f>ROUND(Loading!N121,2)</f>
        <v>646.15</v>
      </c>
      <c r="O121" s="32">
        <f>Loading!O121</f>
        <v>189.99999999999997</v>
      </c>
    </row>
    <row r="122" spans="2:15">
      <c r="B122" s="32">
        <f t="shared" si="12"/>
        <v>120</v>
      </c>
      <c r="C122" s="32">
        <f>Loading!B122</f>
        <v>39761060</v>
      </c>
      <c r="D122" s="32">
        <f>Loading!E122</f>
        <v>2</v>
      </c>
      <c r="E122" s="32">
        <f>Loading!F122</f>
        <v>6249</v>
      </c>
      <c r="F122" s="32">
        <f>Loading!J122</f>
        <v>48</v>
      </c>
      <c r="G122" s="32">
        <f>Loading!K122</f>
        <v>20</v>
      </c>
      <c r="H122" s="32">
        <f>Loading!P122</f>
        <v>4</v>
      </c>
      <c r="I122" s="35">
        <f t="shared" si="17"/>
        <v>130</v>
      </c>
      <c r="J122" s="34" t="str">
        <f>Loading!C122</f>
        <v>54-82-08547-016G</v>
      </c>
      <c r="K122" s="34">
        <f t="shared" si="14"/>
        <v>7</v>
      </c>
      <c r="L122" s="34">
        <f t="shared" si="15"/>
        <v>1.49</v>
      </c>
      <c r="M122" s="34">
        <f t="shared" si="16"/>
        <v>5.05</v>
      </c>
      <c r="N122" s="32">
        <f>ROUND(Loading!N122,2)</f>
        <v>646.15</v>
      </c>
      <c r="O122" s="32">
        <f>Loading!O122</f>
        <v>189.99999999999997</v>
      </c>
    </row>
    <row r="123" spans="2:15">
      <c r="B123" s="32">
        <f t="shared" si="12"/>
        <v>121</v>
      </c>
      <c r="C123" s="32">
        <f>Loading!B123</f>
        <v>39563481</v>
      </c>
      <c r="D123" s="32">
        <f>Loading!E123</f>
        <v>2</v>
      </c>
      <c r="E123" s="32">
        <f>Loading!F123</f>
        <v>112</v>
      </c>
      <c r="F123" s="32">
        <f>Loading!J123</f>
        <v>48</v>
      </c>
      <c r="G123" s="32">
        <f>Loading!K123</f>
        <v>20</v>
      </c>
      <c r="H123" s="32">
        <f>Loading!P123</f>
        <v>4</v>
      </c>
      <c r="I123" s="35">
        <f t="shared" si="17"/>
        <v>2</v>
      </c>
      <c r="J123" s="34" t="str">
        <f>Loading!C123</f>
        <v>54-82-08547-016G</v>
      </c>
      <c r="K123" s="34">
        <f t="shared" si="14"/>
        <v>0</v>
      </c>
      <c r="L123" s="34">
        <f t="shared" si="15"/>
        <v>1.49</v>
      </c>
      <c r="M123" s="34">
        <f t="shared" si="16"/>
        <v>5.05</v>
      </c>
      <c r="N123" s="32">
        <f>ROUND(Loading!N123,2)</f>
        <v>646.15</v>
      </c>
      <c r="O123" s="32">
        <f>Loading!O123</f>
        <v>189.99999999999997</v>
      </c>
    </row>
    <row r="124" spans="2:15">
      <c r="B124" s="32">
        <f t="shared" si="12"/>
        <v>122</v>
      </c>
      <c r="C124" s="32">
        <f>Loading!B124</f>
        <v>39562366</v>
      </c>
      <c r="D124" s="32">
        <f>Loading!E124</f>
        <v>2</v>
      </c>
      <c r="E124" s="32">
        <f>Loading!F124</f>
        <v>1484</v>
      </c>
      <c r="F124" s="32">
        <f>Loading!J124</f>
        <v>48</v>
      </c>
      <c r="G124" s="32">
        <f>Loading!K124</f>
        <v>20</v>
      </c>
      <c r="H124" s="32">
        <f>Loading!P124</f>
        <v>4</v>
      </c>
      <c r="I124" s="35">
        <f t="shared" si="17"/>
        <v>31</v>
      </c>
      <c r="J124" s="34" t="str">
        <f>Loading!C124</f>
        <v>54-82-08547-016G</v>
      </c>
      <c r="K124" s="34">
        <f t="shared" si="14"/>
        <v>2</v>
      </c>
      <c r="L124" s="34">
        <f t="shared" si="15"/>
        <v>1.49</v>
      </c>
      <c r="M124" s="34">
        <f t="shared" si="16"/>
        <v>5.05</v>
      </c>
      <c r="N124" s="32">
        <f>ROUND(Loading!N124,2)</f>
        <v>646.15</v>
      </c>
      <c r="O124" s="32">
        <f>Loading!O124</f>
        <v>189.99999999999997</v>
      </c>
    </row>
    <row r="125" spans="2:15">
      <c r="B125" s="32">
        <f t="shared" si="12"/>
        <v>123</v>
      </c>
      <c r="C125" s="32">
        <f>Loading!B125</f>
        <v>39564593</v>
      </c>
      <c r="D125" s="32">
        <f>Loading!E125</f>
        <v>2</v>
      </c>
      <c r="E125" s="32">
        <f>Loading!F125</f>
        <v>8820</v>
      </c>
      <c r="F125" s="32">
        <f>Loading!J125</f>
        <v>48</v>
      </c>
      <c r="G125" s="32">
        <f>Loading!K125</f>
        <v>20</v>
      </c>
      <c r="H125" s="32">
        <f>Loading!P125</f>
        <v>4</v>
      </c>
      <c r="I125" s="35">
        <f t="shared" si="17"/>
        <v>184</v>
      </c>
      <c r="J125" s="34" t="str">
        <f>Loading!C125</f>
        <v>54-82-08547-016G</v>
      </c>
      <c r="K125" s="34">
        <f t="shared" si="14"/>
        <v>9</v>
      </c>
      <c r="L125" s="34">
        <f t="shared" si="15"/>
        <v>1.49</v>
      </c>
      <c r="M125" s="34">
        <f t="shared" si="16"/>
        <v>5.05</v>
      </c>
      <c r="N125" s="32">
        <f>ROUND(Loading!N125,2)</f>
        <v>646.15</v>
      </c>
      <c r="O125" s="32">
        <f>Loading!O125</f>
        <v>189.99999999999997</v>
      </c>
    </row>
    <row r="126" spans="2:15">
      <c r="B126" s="32">
        <f t="shared" si="12"/>
        <v>124</v>
      </c>
      <c r="C126" s="32">
        <f>Loading!B126</f>
        <v>39563480</v>
      </c>
      <c r="D126" s="32">
        <f>Loading!E126</f>
        <v>2</v>
      </c>
      <c r="E126" s="32">
        <f>Loading!F126</f>
        <v>373</v>
      </c>
      <c r="F126" s="32">
        <f>Loading!J126</f>
        <v>48</v>
      </c>
      <c r="G126" s="32">
        <f>Loading!K126</f>
        <v>20</v>
      </c>
      <c r="H126" s="32">
        <f>Loading!P126</f>
        <v>4</v>
      </c>
      <c r="I126" s="35">
        <f t="shared" si="17"/>
        <v>8</v>
      </c>
      <c r="J126" s="34" t="str">
        <f>Loading!C126</f>
        <v>54-82-08547-016G</v>
      </c>
      <c r="K126" s="34">
        <f t="shared" si="14"/>
        <v>0</v>
      </c>
      <c r="L126" s="34">
        <f t="shared" si="15"/>
        <v>1.49</v>
      </c>
      <c r="M126" s="34">
        <f t="shared" si="16"/>
        <v>5.05</v>
      </c>
      <c r="N126" s="32">
        <f>ROUND(Loading!N126,2)</f>
        <v>646.15</v>
      </c>
      <c r="O126" s="32">
        <f>Loading!O126</f>
        <v>189.99999999999997</v>
      </c>
    </row>
    <row r="127" spans="2:15">
      <c r="B127" s="32">
        <f t="shared" si="12"/>
        <v>125</v>
      </c>
      <c r="C127" s="32">
        <f>Loading!B127</f>
        <v>39562367</v>
      </c>
      <c r="D127" s="32">
        <f>Loading!E127</f>
        <v>2</v>
      </c>
      <c r="E127" s="32">
        <f>Loading!F127</f>
        <v>10234</v>
      </c>
      <c r="F127" s="32">
        <f>Loading!J127</f>
        <v>48</v>
      </c>
      <c r="G127" s="32">
        <f>Loading!K127</f>
        <v>20</v>
      </c>
      <c r="H127" s="32">
        <f>Loading!P127</f>
        <v>4</v>
      </c>
      <c r="I127" s="35">
        <f t="shared" si="17"/>
        <v>213</v>
      </c>
      <c r="J127" s="34" t="str">
        <f>Loading!C127</f>
        <v>54-82-08547-016G</v>
      </c>
      <c r="K127" s="34">
        <f t="shared" si="14"/>
        <v>11</v>
      </c>
      <c r="L127" s="34">
        <f t="shared" si="15"/>
        <v>1.49</v>
      </c>
      <c r="M127" s="34">
        <f t="shared" si="16"/>
        <v>5.05</v>
      </c>
      <c r="N127" s="32">
        <f>ROUND(Loading!N127,2)</f>
        <v>646.15</v>
      </c>
      <c r="O127" s="32">
        <f>Loading!O127</f>
        <v>189.99999999999997</v>
      </c>
    </row>
    <row r="128" spans="2:15">
      <c r="B128" s="32">
        <f t="shared" si="12"/>
        <v>126</v>
      </c>
      <c r="C128" s="32">
        <f>Loading!B128</f>
        <v>39569895</v>
      </c>
      <c r="D128" s="32">
        <f>Loading!E128</f>
        <v>1</v>
      </c>
      <c r="E128" s="32">
        <f>Loading!F128</f>
        <v>141385</v>
      </c>
      <c r="F128" s="32">
        <f>Loading!J128</f>
        <v>80</v>
      </c>
      <c r="G128" s="32">
        <f>Loading!K128</f>
        <v>20</v>
      </c>
      <c r="H128" s="32">
        <f>Loading!P128</f>
        <v>4</v>
      </c>
      <c r="I128" s="35">
        <f t="shared" si="17"/>
        <v>1767</v>
      </c>
      <c r="J128" s="34" t="str">
        <f>Loading!C128</f>
        <v>54-82-08562-002G</v>
      </c>
      <c r="K128" s="34">
        <f t="shared" si="14"/>
        <v>88</v>
      </c>
      <c r="L128" s="34">
        <f t="shared" si="15"/>
        <v>1.69</v>
      </c>
      <c r="M128" s="34">
        <f t="shared" si="16"/>
        <v>5.33</v>
      </c>
      <c r="N128" s="32">
        <f>ROUND(Loading!N128,2)</f>
        <v>944.19</v>
      </c>
      <c r="O128" s="32">
        <f>Loading!O128</f>
        <v>300</v>
      </c>
    </row>
    <row r="129" spans="2:15">
      <c r="B129" s="32">
        <f t="shared" si="12"/>
        <v>127</v>
      </c>
      <c r="C129" s="32">
        <f>Loading!B129</f>
        <v>39595273</v>
      </c>
      <c r="D129" s="32">
        <f>Loading!E129</f>
        <v>1</v>
      </c>
      <c r="E129" s="32">
        <f>Loading!F129</f>
        <v>203203</v>
      </c>
      <c r="F129" s="32">
        <f>Loading!J129</f>
        <v>80</v>
      </c>
      <c r="G129" s="32">
        <f>Loading!K129</f>
        <v>20</v>
      </c>
      <c r="H129" s="32">
        <f>Loading!P129</f>
        <v>4</v>
      </c>
      <c r="I129" s="35">
        <f t="shared" si="17"/>
        <v>2540</v>
      </c>
      <c r="J129" s="34" t="str">
        <f>Loading!C129</f>
        <v>54-82-08562-002G</v>
      </c>
      <c r="K129" s="34">
        <f t="shared" si="14"/>
        <v>127</v>
      </c>
      <c r="L129" s="34">
        <f t="shared" si="15"/>
        <v>1.69</v>
      </c>
      <c r="M129" s="34">
        <f t="shared" si="16"/>
        <v>5.33</v>
      </c>
      <c r="N129" s="32">
        <f>ROUND(Loading!N129,2)</f>
        <v>944.19</v>
      </c>
      <c r="O129" s="32">
        <f>Loading!O129</f>
        <v>300</v>
      </c>
    </row>
    <row r="130" spans="2:15">
      <c r="B130" s="32">
        <f t="shared" si="12"/>
        <v>128</v>
      </c>
      <c r="C130" s="32">
        <f>Loading!B130</f>
        <v>39678578</v>
      </c>
      <c r="D130" s="32">
        <f>Loading!E130</f>
        <v>1</v>
      </c>
      <c r="E130" s="32">
        <f>Loading!F130</f>
        <v>500500</v>
      </c>
      <c r="F130" s="32">
        <f>Loading!J130</f>
        <v>80</v>
      </c>
      <c r="G130" s="32">
        <f>Loading!K130</f>
        <v>20</v>
      </c>
      <c r="H130" s="32">
        <f>Loading!P130</f>
        <v>4</v>
      </c>
      <c r="I130" s="35">
        <f t="shared" si="17"/>
        <v>6256</v>
      </c>
      <c r="J130" s="34" t="str">
        <f>Loading!C130</f>
        <v>54-82-08562-002G</v>
      </c>
      <c r="K130" s="34">
        <f t="shared" si="14"/>
        <v>313</v>
      </c>
      <c r="L130" s="34">
        <f t="shared" si="15"/>
        <v>1.69</v>
      </c>
      <c r="M130" s="34">
        <f t="shared" si="16"/>
        <v>5.33</v>
      </c>
      <c r="N130" s="32">
        <f>ROUND(Loading!N130,2)</f>
        <v>944.19</v>
      </c>
      <c r="O130" s="32">
        <f>Loading!O130</f>
        <v>300</v>
      </c>
    </row>
    <row r="131" spans="2:15">
      <c r="B131" s="32">
        <f t="shared" si="12"/>
        <v>129</v>
      </c>
      <c r="C131" s="32">
        <f>Loading!B131</f>
        <v>39762316</v>
      </c>
      <c r="D131" s="32">
        <f>Loading!E131</f>
        <v>1</v>
      </c>
      <c r="E131" s="32">
        <f>Loading!F131</f>
        <v>402400</v>
      </c>
      <c r="F131" s="32">
        <f>Loading!J131</f>
        <v>80</v>
      </c>
      <c r="G131" s="32">
        <f>Loading!K131</f>
        <v>20</v>
      </c>
      <c r="H131" s="32">
        <f>Loading!P131</f>
        <v>4</v>
      </c>
      <c r="I131" s="35">
        <f t="shared" si="17"/>
        <v>5030</v>
      </c>
      <c r="J131" s="34" t="str">
        <f>Loading!C131</f>
        <v>54-82-08562-002G</v>
      </c>
      <c r="K131" s="34">
        <f t="shared" ref="K131:K142" si="18">ROUND(I131/G131,0)</f>
        <v>252</v>
      </c>
      <c r="L131" s="34">
        <f t="shared" ref="L131:L142" si="19">ROUND(F131*G131/N131,2)</f>
        <v>1.69</v>
      </c>
      <c r="M131" s="34">
        <f t="shared" ref="M131:M142" si="20">ROUND(F131*G131/O131,2)</f>
        <v>5.33</v>
      </c>
      <c r="N131" s="32">
        <f>ROUND(Loading!N131,2)</f>
        <v>944.19</v>
      </c>
      <c r="O131" s="32">
        <f>Loading!O131</f>
        <v>300</v>
      </c>
    </row>
    <row r="132" spans="2:15">
      <c r="B132" s="32">
        <f t="shared" si="12"/>
        <v>130</v>
      </c>
      <c r="C132" s="32">
        <f>Loading!B132</f>
        <v>39595270</v>
      </c>
      <c r="D132" s="32">
        <f>Loading!E132</f>
        <v>1</v>
      </c>
      <c r="E132" s="32">
        <f>Loading!F132</f>
        <v>376376</v>
      </c>
      <c r="F132" s="32">
        <f>Loading!J132</f>
        <v>80</v>
      </c>
      <c r="G132" s="32">
        <f>Loading!K132</f>
        <v>20</v>
      </c>
      <c r="H132" s="32">
        <f>Loading!P132</f>
        <v>4</v>
      </c>
      <c r="I132" s="35">
        <f t="shared" si="17"/>
        <v>4705</v>
      </c>
      <c r="J132" s="34" t="str">
        <f>Loading!C132</f>
        <v>54-82-08562-002G</v>
      </c>
      <c r="K132" s="34">
        <f t="shared" si="18"/>
        <v>235</v>
      </c>
      <c r="L132" s="34">
        <f t="shared" si="19"/>
        <v>1.69</v>
      </c>
      <c r="M132" s="34">
        <f t="shared" si="20"/>
        <v>5.33</v>
      </c>
      <c r="N132" s="32">
        <f>ROUND(Loading!N132,2)</f>
        <v>944.19</v>
      </c>
      <c r="O132" s="32">
        <f>Loading!O132</f>
        <v>300</v>
      </c>
    </row>
    <row r="133" spans="2:15">
      <c r="B133" s="32">
        <f t="shared" ref="B133:B142" si="21">B132+1</f>
        <v>131</v>
      </c>
      <c r="C133" s="32">
        <f>Loading!B133</f>
        <v>39678579</v>
      </c>
      <c r="D133" s="32">
        <f>Loading!E133</f>
        <v>1</v>
      </c>
      <c r="E133" s="32">
        <f>Loading!F133</f>
        <v>500500</v>
      </c>
      <c r="F133" s="32">
        <f>Loading!J133</f>
        <v>80</v>
      </c>
      <c r="G133" s="32">
        <f>Loading!K133</f>
        <v>20</v>
      </c>
      <c r="H133" s="32">
        <f>Loading!P133</f>
        <v>4</v>
      </c>
      <c r="I133" s="35">
        <f t="shared" si="17"/>
        <v>6256</v>
      </c>
      <c r="J133" s="34" t="str">
        <f>Loading!C133</f>
        <v>54-82-08562-002G</v>
      </c>
      <c r="K133" s="34">
        <f t="shared" si="18"/>
        <v>313</v>
      </c>
      <c r="L133" s="34">
        <f t="shared" si="19"/>
        <v>1.69</v>
      </c>
      <c r="M133" s="34">
        <f t="shared" si="20"/>
        <v>5.33</v>
      </c>
      <c r="N133" s="32">
        <f>ROUND(Loading!N133,2)</f>
        <v>944.19</v>
      </c>
      <c r="O133" s="32">
        <f>Loading!O133</f>
        <v>300</v>
      </c>
    </row>
    <row r="134" spans="2:15">
      <c r="B134" s="32">
        <f t="shared" si="21"/>
        <v>132</v>
      </c>
      <c r="C134" s="32">
        <f>Loading!B134</f>
        <v>39595274</v>
      </c>
      <c r="D134" s="32">
        <f>Loading!E134</f>
        <v>1</v>
      </c>
      <c r="E134" s="32">
        <f>Loading!F134</f>
        <v>71071</v>
      </c>
      <c r="F134" s="32">
        <f>Loading!J134</f>
        <v>80</v>
      </c>
      <c r="G134" s="32">
        <f>Loading!K134</f>
        <v>20</v>
      </c>
      <c r="H134" s="32">
        <f>Loading!P134</f>
        <v>4</v>
      </c>
      <c r="I134" s="35">
        <f t="shared" si="17"/>
        <v>888</v>
      </c>
      <c r="J134" s="34" t="str">
        <f>Loading!C134</f>
        <v>54-82-08562-002G</v>
      </c>
      <c r="K134" s="34">
        <f t="shared" si="18"/>
        <v>44</v>
      </c>
      <c r="L134" s="34">
        <f t="shared" si="19"/>
        <v>1.69</v>
      </c>
      <c r="M134" s="34">
        <f t="shared" si="20"/>
        <v>5.33</v>
      </c>
      <c r="N134" s="32">
        <f>ROUND(Loading!N134,2)</f>
        <v>944.19</v>
      </c>
      <c r="O134" s="32">
        <f>Loading!O134</f>
        <v>300</v>
      </c>
    </row>
    <row r="135" spans="2:15">
      <c r="B135" s="32">
        <f t="shared" si="21"/>
        <v>133</v>
      </c>
      <c r="C135" s="32">
        <f>Loading!B135</f>
        <v>39559252</v>
      </c>
      <c r="D135" s="32">
        <f>Loading!E135</f>
        <v>1</v>
      </c>
      <c r="E135" s="32">
        <f>Loading!F135</f>
        <v>29733</v>
      </c>
      <c r="F135" s="32">
        <f>Loading!J135</f>
        <v>80</v>
      </c>
      <c r="G135" s="32">
        <f>Loading!K135</f>
        <v>20</v>
      </c>
      <c r="H135" s="32">
        <f>Loading!P135</f>
        <v>4</v>
      </c>
      <c r="I135" s="35">
        <f t="shared" si="17"/>
        <v>372</v>
      </c>
      <c r="J135" s="34" t="str">
        <f>Loading!C135</f>
        <v>54-82-08562-002G</v>
      </c>
      <c r="K135" s="34">
        <f t="shared" si="18"/>
        <v>19</v>
      </c>
      <c r="L135" s="34">
        <f t="shared" si="19"/>
        <v>1.69</v>
      </c>
      <c r="M135" s="34">
        <f t="shared" si="20"/>
        <v>5.33</v>
      </c>
      <c r="N135" s="32">
        <f>ROUND(Loading!N135,2)</f>
        <v>944.19</v>
      </c>
      <c r="O135" s="32">
        <f>Loading!O135</f>
        <v>300</v>
      </c>
    </row>
    <row r="136" spans="2:15">
      <c r="B136" s="32">
        <f t="shared" si="21"/>
        <v>134</v>
      </c>
      <c r="C136" s="32">
        <f>Loading!B136</f>
        <v>39566262</v>
      </c>
      <c r="D136" s="32">
        <f>Loading!E136</f>
        <v>1</v>
      </c>
      <c r="E136" s="32">
        <f>Loading!F136</f>
        <v>3207</v>
      </c>
      <c r="F136" s="32">
        <f>Loading!J136</f>
        <v>80</v>
      </c>
      <c r="G136" s="32">
        <f>Loading!K136</f>
        <v>20</v>
      </c>
      <c r="H136" s="32">
        <f>Loading!P136</f>
        <v>4</v>
      </c>
      <c r="I136" s="35">
        <f t="shared" ref="I136:I142" si="22">ROUND(E136/F136,0)</f>
        <v>40</v>
      </c>
      <c r="J136" s="34" t="str">
        <f>Loading!C136</f>
        <v>54-82-08562-002G</v>
      </c>
      <c r="K136" s="34">
        <f t="shared" si="18"/>
        <v>2</v>
      </c>
      <c r="L136" s="34">
        <f t="shared" si="19"/>
        <v>1.69</v>
      </c>
      <c r="M136" s="34">
        <f t="shared" si="20"/>
        <v>5.33</v>
      </c>
      <c r="N136" s="32">
        <f>ROUND(Loading!N136,2)</f>
        <v>944.19</v>
      </c>
      <c r="O136" s="32">
        <f>Loading!O136</f>
        <v>300</v>
      </c>
    </row>
    <row r="137" spans="2:15">
      <c r="B137" s="32">
        <f t="shared" si="21"/>
        <v>135</v>
      </c>
      <c r="C137" s="32">
        <f>Loading!B137</f>
        <v>39767527</v>
      </c>
      <c r="D137" s="32">
        <f>Loading!E137</f>
        <v>1</v>
      </c>
      <c r="E137" s="32">
        <f>Loading!F137</f>
        <v>23286</v>
      </c>
      <c r="F137" s="32">
        <f>Loading!J137</f>
        <v>88</v>
      </c>
      <c r="G137" s="32">
        <f>Loading!K137</f>
        <v>20</v>
      </c>
      <c r="H137" s="32">
        <f>Loading!P137</f>
        <v>4</v>
      </c>
      <c r="I137" s="35">
        <f t="shared" si="22"/>
        <v>265</v>
      </c>
      <c r="J137" s="34" t="str">
        <f>Loading!C137</f>
        <v>54-82-08795-004G</v>
      </c>
      <c r="K137" s="34">
        <f t="shared" si="18"/>
        <v>13</v>
      </c>
      <c r="L137" s="34">
        <f t="shared" si="19"/>
        <v>1.86</v>
      </c>
      <c r="M137" s="34">
        <f t="shared" si="20"/>
        <v>5.5</v>
      </c>
      <c r="N137" s="32">
        <f>ROUND(Loading!N137,2)</f>
        <v>944.19</v>
      </c>
      <c r="O137" s="32">
        <f>Loading!O137</f>
        <v>320</v>
      </c>
    </row>
    <row r="138" spans="2:15">
      <c r="B138" s="32">
        <f t="shared" si="21"/>
        <v>136</v>
      </c>
      <c r="C138" s="32">
        <f>Loading!B138</f>
        <v>39561438</v>
      </c>
      <c r="D138" s="32">
        <f>Loading!E138</f>
        <v>1</v>
      </c>
      <c r="E138" s="32">
        <f>Loading!F138</f>
        <v>20780</v>
      </c>
      <c r="F138" s="32">
        <f>Loading!J138</f>
        <v>88</v>
      </c>
      <c r="G138" s="32">
        <f>Loading!K138</f>
        <v>20</v>
      </c>
      <c r="H138" s="32">
        <f>Loading!P138</f>
        <v>4</v>
      </c>
      <c r="I138" s="35">
        <f t="shared" si="22"/>
        <v>236</v>
      </c>
      <c r="J138" s="34" t="str">
        <f>Loading!C138</f>
        <v>54-82-08795-004G</v>
      </c>
      <c r="K138" s="34">
        <f t="shared" si="18"/>
        <v>12</v>
      </c>
      <c r="L138" s="34">
        <f t="shared" si="19"/>
        <v>1.86</v>
      </c>
      <c r="M138" s="34">
        <f t="shared" si="20"/>
        <v>5.5</v>
      </c>
      <c r="N138" s="32">
        <f>ROUND(Loading!N138,2)</f>
        <v>944.19</v>
      </c>
      <c r="O138" s="32">
        <f>Loading!O138</f>
        <v>320</v>
      </c>
    </row>
    <row r="139" spans="2:15">
      <c r="B139" s="32">
        <f t="shared" si="21"/>
        <v>137</v>
      </c>
      <c r="C139" s="32">
        <f>Loading!B139</f>
        <v>39564682</v>
      </c>
      <c r="D139" s="32">
        <f>Loading!E139</f>
        <v>2</v>
      </c>
      <c r="E139" s="32">
        <f>Loading!F139</f>
        <v>55932</v>
      </c>
      <c r="F139" s="32">
        <f>Loading!J139</f>
        <v>80</v>
      </c>
      <c r="G139" s="32">
        <f>Loading!K139</f>
        <v>20</v>
      </c>
      <c r="H139" s="32">
        <f>Loading!P139</f>
        <v>4</v>
      </c>
      <c r="I139" s="35">
        <f t="shared" si="22"/>
        <v>699</v>
      </c>
      <c r="J139" s="34" t="str">
        <f>Loading!C139</f>
        <v>54-82-08890-016G</v>
      </c>
      <c r="K139" s="34">
        <f t="shared" si="18"/>
        <v>35</v>
      </c>
      <c r="L139" s="34">
        <f t="shared" si="19"/>
        <v>2.56</v>
      </c>
      <c r="M139" s="34">
        <f t="shared" si="20"/>
        <v>8.42</v>
      </c>
      <c r="N139" s="32">
        <f>ROUND(Loading!N139,2)</f>
        <v>624</v>
      </c>
      <c r="O139" s="32">
        <f>Loading!O139</f>
        <v>189.99999999999997</v>
      </c>
    </row>
    <row r="140" spans="2:15">
      <c r="B140" s="32">
        <f t="shared" si="21"/>
        <v>138</v>
      </c>
      <c r="C140" s="32">
        <f>Loading!B140</f>
        <v>39595804</v>
      </c>
      <c r="D140" s="32">
        <f>Loading!E140</f>
        <v>2</v>
      </c>
      <c r="E140" s="32">
        <f>Loading!F140</f>
        <v>30030</v>
      </c>
      <c r="F140" s="32">
        <f>Loading!J140</f>
        <v>66</v>
      </c>
      <c r="G140" s="32">
        <f>Loading!K140</f>
        <v>20</v>
      </c>
      <c r="H140" s="32">
        <f>Loading!P140</f>
        <v>4</v>
      </c>
      <c r="I140" s="35">
        <f t="shared" si="22"/>
        <v>455</v>
      </c>
      <c r="J140" s="34" t="str">
        <f>Loading!C140</f>
        <v>54-82-08917-016G</v>
      </c>
      <c r="K140" s="34">
        <f t="shared" si="18"/>
        <v>23</v>
      </c>
      <c r="L140" s="34">
        <f t="shared" si="19"/>
        <v>2.04</v>
      </c>
      <c r="M140" s="34">
        <f t="shared" si="20"/>
        <v>6.6</v>
      </c>
      <c r="N140" s="32">
        <f>ROUND(Loading!N140,2)</f>
        <v>646.15</v>
      </c>
      <c r="O140" s="32">
        <f>Loading!O140</f>
        <v>200</v>
      </c>
    </row>
    <row r="141" spans="2:15">
      <c r="B141" s="32">
        <f t="shared" si="21"/>
        <v>139</v>
      </c>
      <c r="C141" s="32">
        <f>Loading!B141</f>
        <v>39761061</v>
      </c>
      <c r="D141" s="32">
        <f>Loading!E141</f>
        <v>2</v>
      </c>
      <c r="E141" s="32">
        <f>Loading!F141</f>
        <v>9674</v>
      </c>
      <c r="F141" s="32">
        <f>Loading!J141</f>
        <v>66</v>
      </c>
      <c r="G141" s="32">
        <f>Loading!K141</f>
        <v>20</v>
      </c>
      <c r="H141" s="32">
        <f>Loading!P141</f>
        <v>4</v>
      </c>
      <c r="I141" s="35">
        <f t="shared" si="22"/>
        <v>147</v>
      </c>
      <c r="J141" s="34" t="str">
        <f>Loading!C141</f>
        <v>54-82-08917-016G</v>
      </c>
      <c r="K141" s="34">
        <f t="shared" si="18"/>
        <v>7</v>
      </c>
      <c r="L141" s="34">
        <f t="shared" si="19"/>
        <v>2.04</v>
      </c>
      <c r="M141" s="34">
        <f t="shared" si="20"/>
        <v>6.6</v>
      </c>
      <c r="N141" s="32">
        <f>ROUND(Loading!N141,2)</f>
        <v>646.15</v>
      </c>
      <c r="O141" s="32">
        <f>Loading!O141</f>
        <v>200</v>
      </c>
    </row>
    <row r="142" spans="2:15">
      <c r="B142" s="32">
        <f t="shared" si="21"/>
        <v>140</v>
      </c>
      <c r="C142" s="32">
        <f>Loading!B142</f>
        <v>39595265</v>
      </c>
      <c r="D142" s="32">
        <f>Loading!E142</f>
        <v>1</v>
      </c>
      <c r="E142" s="32">
        <f>Loading!F142</f>
        <v>15005</v>
      </c>
      <c r="F142" s="32">
        <f>Loading!J142</f>
        <v>80</v>
      </c>
      <c r="G142" s="32">
        <f>Loading!K142</f>
        <v>20</v>
      </c>
      <c r="H142" s="32">
        <f>Loading!P142</f>
        <v>4</v>
      </c>
      <c r="I142" s="35">
        <f t="shared" si="22"/>
        <v>188</v>
      </c>
      <c r="J142" s="34" t="str">
        <f>Loading!C142</f>
        <v>54-82-08948-004G</v>
      </c>
      <c r="K142" s="34">
        <f t="shared" si="18"/>
        <v>9</v>
      </c>
      <c r="L142" s="34">
        <f t="shared" si="19"/>
        <v>1.69</v>
      </c>
      <c r="M142" s="34">
        <f t="shared" si="20"/>
        <v>5.33</v>
      </c>
      <c r="N142" s="32">
        <f>ROUND(Loading!N142,2)</f>
        <v>944.19</v>
      </c>
      <c r="O142" s="32">
        <f>Loading!O142</f>
        <v>300</v>
      </c>
    </row>
    <row r="143" spans="2:15">
      <c r="I143" s="32">
        <f>SUM(I3:I142)</f>
        <v>133735</v>
      </c>
    </row>
  </sheetData>
  <mergeCells count="1">
    <mergeCell ref="N1:O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size="7" baseType="lpstr">
      <vt:lpstr>Illustration</vt:lpstr>
      <vt:lpstr>Process</vt:lpstr>
      <vt:lpstr>MC qty&amp;MMR</vt:lpstr>
      <vt:lpstr>Man&amp;MC status</vt:lpstr>
      <vt:lpstr>Loading</vt:lpstr>
      <vt:lpstr>Sheet1</vt:lpstr>
      <vt:lpstr>SanDsk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2012-04-02T17:06:58Z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2013502396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